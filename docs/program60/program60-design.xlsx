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0_概要" sheetId="1" state="visible" r:id="rId3"/>
    <sheet name="1_既存69枚の分析" sheetId="2" state="visible" r:id="rId4"/>
    <sheet name="4_講師用進行台本" sheetId="3" state="visible" r:id="rId5"/>
    <sheet name="2_全体構成" sheetId="4" state="visible" r:id="rId6"/>
    <sheet name="5_画像動画差し替え管理" sheetId="5" state="visible" r:id="rId7"/>
    <sheet name="6_品質確認" sheetId="6" state="visible" r:id="rId8"/>
    <sheet name="7_アンケート" sheetId="7" state="visible" r:id="rId9"/>
    <sheet name="8_要確認事項" sheetId="8" state="visible" r:id="rId10"/>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<sst xmlns="http://schemas.openxmlformats.org/spreadsheetml/2006/main" count="1255" uniqueCount="869">
  <si>
    <r>
      <rPr>
        <b val="true"/>
        <sz val="16"/>
        <color rgb="FF1E2126"/>
        <rFont val="WenQuanYi Zen Hei"/>
        <family val="2"/>
      </rPr>
      <t xml:space="preserve">コンサルティング営業体験（</t>
    </r>
    <r>
      <rPr>
        <b val="true"/>
        <sz val="16"/>
        <color rgb="FF1E2126"/>
        <rFont val="Meiryo UI"/>
        <family val="0"/>
        <charset val="1"/>
      </rPr>
      <t xml:space="preserve">60</t>
    </r>
    <r>
      <rPr>
        <b val="true"/>
        <sz val="16"/>
        <color rgb="FF1E2126"/>
        <rFont val="WenQuanYi Zen Hei"/>
        <family val="2"/>
      </rPr>
      <t xml:space="preserve">分版）設計書</t>
    </r>
  </si>
  <si>
    <r>
      <rPr>
        <sz val="10"/>
        <color rgb="FF5A6470"/>
        <rFont val="WenQuanYi Zen Hei"/>
        <family val="2"/>
      </rPr>
      <t xml:space="preserve">大学生向け新卒採用プログラム。スライドは </t>
    </r>
    <r>
      <rPr>
        <sz val="10"/>
        <color rgb="FF5A6470"/>
        <rFont val="Meiryo UI"/>
        <family val="0"/>
        <charset val="1"/>
      </rPr>
      <t xml:space="preserve">program60-slides.pptx</t>
    </r>
    <r>
      <rPr>
        <sz val="10"/>
        <color rgb="FF5A6470"/>
        <rFont val="WenQuanYi Zen Hei"/>
        <family val="2"/>
      </rPr>
      <t xml:space="preserve">（本編</t>
    </r>
    <r>
      <rPr>
        <sz val="10"/>
        <color rgb="FF5A6470"/>
        <rFont val="Meiryo UI"/>
        <family val="0"/>
        <charset val="1"/>
      </rPr>
      <t xml:space="preserve">45</t>
    </r>
    <r>
      <rPr>
        <sz val="10"/>
        <color rgb="FF5A6470"/>
        <rFont val="WenQuanYi Zen Hei"/>
        <family val="2"/>
      </rPr>
      <t xml:space="preserve">枚＋補足</t>
    </r>
    <r>
      <rPr>
        <sz val="10"/>
        <color rgb="FF5A6470"/>
        <rFont val="Meiryo UI"/>
        <family val="0"/>
        <charset val="1"/>
      </rPr>
      <t xml:space="preserve">6</t>
    </r>
    <r>
      <rPr>
        <sz val="10"/>
        <color rgb="FF5A6470"/>
        <rFont val="WenQuanYi Zen Hei"/>
        <family val="2"/>
      </rPr>
      <t xml:space="preserve">枚）</t>
    </r>
  </si>
  <si>
    <t xml:space="preserve">シート</t>
  </si>
  <si>
    <t xml:space="preserve">内容</t>
  </si>
  <si>
    <r>
      <rPr>
        <sz val="10"/>
        <color rgb="FF1E2126"/>
        <rFont val="WenQuanYi Zen Hei"/>
        <family val="2"/>
      </rPr>
      <t xml:space="preserve">①既存</t>
    </r>
    <r>
      <rPr>
        <sz val="10"/>
        <color rgb="FF1E2126"/>
        <rFont val="Meiryo UI"/>
        <family val="0"/>
        <charset val="1"/>
      </rPr>
      <t xml:space="preserve">69</t>
    </r>
    <r>
      <rPr>
        <sz val="10"/>
        <color rgb="FF1E2126"/>
        <rFont val="WenQuanYi Zen Hei"/>
        <family val="2"/>
      </rPr>
      <t xml:space="preserve">枚の分析</t>
    </r>
  </si>
  <si>
    <t xml:space="preserve">既存スライドごとに、残す・統合・移動・削除・変更の判断と、新しいスライド番号</t>
  </si>
  <si>
    <t xml:space="preserve">②全体構成</t>
  </si>
  <si>
    <r>
      <rPr>
        <sz val="10"/>
        <color rgb="FF1E2126"/>
        <rFont val="Meiryo UI"/>
        <family val="0"/>
        <charset val="1"/>
      </rPr>
      <t xml:space="preserve">6</t>
    </r>
    <r>
      <rPr>
        <sz val="10"/>
        <color rgb="FF1E2126"/>
        <rFont val="WenQuanYi Zen Hei"/>
        <family val="2"/>
      </rPr>
      <t xml:space="preserve">フェーズのタイムライン、スライド構成、参加型ワークの配置</t>
    </r>
  </si>
  <si>
    <t xml:space="preserve">③改善後の本編スライド</t>
  </si>
  <si>
    <r>
      <rPr>
        <sz val="10"/>
        <color rgb="FF1E2126"/>
        <rFont val="Meiryo UI"/>
        <family val="0"/>
        <charset val="1"/>
      </rPr>
      <t xml:space="preserve">program60-slides.pptx</t>
    </r>
    <r>
      <rPr>
        <sz val="10"/>
        <color rgb="FF1E2126"/>
        <rFont val="WenQuanYi Zen Hei"/>
        <family val="2"/>
      </rPr>
      <t xml:space="preserve">（別ファイル）。各スライドのノートに講師用台本の要約</t>
    </r>
  </si>
  <si>
    <t xml:space="preserve">④講師用進行台本</t>
  </si>
  <si>
    <t xml:space="preserve">スライドごとの説明・問いかけ・想定回答・フィードバック・ヒント・つなぎ・時間超過時の調整</t>
  </si>
  <si>
    <t xml:space="preserve">⑤画像・動画差し替え管理</t>
  </si>
  <si>
    <t xml:space="preserve">差し替え枠の番号・配置・目的・枠の大きさと比率・仮素材・状況</t>
  </si>
  <si>
    <t xml:space="preserve">⑥品質確認</t>
  </si>
  <si>
    <r>
      <rPr>
        <sz val="10"/>
        <color rgb="FF1E2126"/>
        <rFont val="WenQuanYi Zen Hei"/>
        <family val="2"/>
      </rPr>
      <t xml:space="preserve">指示書</t>
    </r>
    <r>
      <rPr>
        <sz val="10"/>
        <color rgb="FF1E2126"/>
        <rFont val="Meiryo UI"/>
        <family val="0"/>
        <charset val="1"/>
      </rPr>
      <t xml:space="preserve">20</t>
    </r>
    <r>
      <rPr>
        <sz val="10"/>
        <color rgb="FF1E2126"/>
        <rFont val="WenQuanYi Zen Hei"/>
        <family val="2"/>
      </rPr>
      <t xml:space="preserve">章の</t>
    </r>
    <r>
      <rPr>
        <sz val="10"/>
        <color rgb="FF1E2126"/>
        <rFont val="Meiryo UI"/>
        <family val="0"/>
        <charset val="1"/>
      </rPr>
      <t xml:space="preserve">8</t>
    </r>
    <r>
      <rPr>
        <sz val="10"/>
        <color rgb="FF1E2126"/>
        <rFont val="WenQuanYi Zen Hei"/>
        <family val="2"/>
      </rPr>
      <t xml:space="preserve">項目のチェック結果</t>
    </r>
  </si>
  <si>
    <t xml:space="preserve">⑦アンケート</t>
  </si>
  <si>
    <t xml:space="preserve">事前・事後の設問と、成果を見る指標</t>
  </si>
  <si>
    <t xml:space="preserve">⑧要確認事項</t>
  </si>
  <si>
    <t xml:space="preserve">推測で埋めずに残した事項。だれに確認するか</t>
  </si>
  <si>
    <t xml:space="preserve">黄色のセルは、運営側が記入する欄です（担当・差し替え日・状況など）。</t>
  </si>
  <si>
    <r>
      <rPr>
        <b val="true"/>
        <sz val="16"/>
        <color rgb="FF1E2126"/>
        <rFont val="WenQuanYi Zen Hei"/>
        <family val="2"/>
      </rPr>
      <t xml:space="preserve">成果物①　既存資料（</t>
    </r>
    <r>
      <rPr>
        <b val="true"/>
        <sz val="16"/>
        <color rgb="FF1E2126"/>
        <rFont val="Meiryo UI"/>
        <family val="0"/>
        <charset val="1"/>
      </rPr>
      <t xml:space="preserve">69</t>
    </r>
    <r>
      <rPr>
        <b val="true"/>
        <sz val="16"/>
        <color rgb="FF1E2126"/>
        <rFont val="WenQuanYi Zen Hei"/>
        <family val="2"/>
      </rPr>
      <t xml:space="preserve">枚）の改善分析</t>
    </r>
  </si>
  <si>
    <t xml:space="preserve">判断：残す（改善）／統合／移動／削除／変更。移動先が「講師台本」のものは、画面から外して講師が使う</t>
  </si>
  <si>
    <r>
      <rPr>
        <b val="true"/>
        <sz val="10"/>
        <color rgb="FFFFFFFF"/>
        <rFont val="WenQuanYi Zen Hei"/>
        <family val="2"/>
      </rPr>
      <t xml:space="preserve">既存</t>
    </r>
    <r>
      <rPr>
        <b val="true"/>
        <sz val="10"/>
        <color rgb="FFFFFFFF"/>
        <rFont val="Meiryo UI"/>
        <family val="0"/>
        <charset val="1"/>
      </rPr>
      <t xml:space="preserve">No</t>
    </r>
  </si>
  <si>
    <t xml:space="preserve">既存スライド</t>
  </si>
  <si>
    <t xml:space="preserve">判断</t>
  </si>
  <si>
    <t xml:space="preserve">新しいスライド</t>
  </si>
  <si>
    <t xml:space="preserve">理由・変えること</t>
  </si>
  <si>
    <t xml:space="preserve">YOUR MISSION</t>
  </si>
  <si>
    <t xml:space="preserve">残す（改善）</t>
  </si>
  <si>
    <r>
      <rPr>
        <sz val="10"/>
        <color rgb="FF1E2126"/>
        <rFont val="Meiryo UI"/>
        <family val="0"/>
        <charset val="1"/>
      </rPr>
      <t xml:space="preserve">S01</t>
    </r>
    <r>
      <rPr>
        <sz val="10"/>
        <color rgb="FF1E2126"/>
        <rFont val="WenQuanYi Zen Hei"/>
        <family val="2"/>
      </rPr>
      <t xml:space="preserve">・</t>
    </r>
    <r>
      <rPr>
        <sz val="10"/>
        <color rgb="FF1E2126"/>
        <rFont val="Meiryo UI"/>
        <family val="0"/>
        <charset val="1"/>
      </rPr>
      <t xml:space="preserve">S03</t>
    </r>
  </si>
  <si>
    <r>
      <rPr>
        <sz val="10"/>
        <color rgb="FF1E2126"/>
        <rFont val="WenQuanYi Zen Hei"/>
        <family val="2"/>
      </rPr>
      <t xml:space="preserve">ミッション感は強み。</t>
    </r>
    <r>
      <rPr>
        <sz val="10"/>
        <color rgb="FF1E2126"/>
        <rFont val="Meiryo UI"/>
        <family val="0"/>
        <charset val="1"/>
      </rPr>
      <t xml:space="preserve">60</t>
    </r>
    <r>
      <rPr>
        <sz val="10"/>
        <color rgb="FF1E2126"/>
        <rFont val="WenQuanYi Zen Hei"/>
        <family val="2"/>
      </rPr>
      <t xml:space="preserve">分の流れと「正解より理由」のルールを足す</t>
    </r>
  </si>
  <si>
    <t xml:space="preserve">佐藤さんの相談（課題発生）</t>
  </si>
  <si>
    <t xml:space="preserve">統合</t>
  </si>
  <si>
    <t xml:space="preserve">S04</t>
  </si>
  <si>
    <t xml:space="preserve">映像①と一体にし、直後に「何が気になる？」の問いを置く</t>
  </si>
  <si>
    <r>
      <rPr>
        <sz val="10"/>
        <color rgb="FF1E2126"/>
        <rFont val="WenQuanYi Zen Hei"/>
        <family val="2"/>
      </rPr>
      <t xml:space="preserve">問い </t>
    </r>
    <r>
      <rPr>
        <sz val="10"/>
        <color rgb="FF1E2126"/>
        <rFont val="Meiryo UI"/>
        <family val="0"/>
        <charset val="1"/>
      </rPr>
      <t xml:space="preserve">P1-Q1</t>
    </r>
  </si>
  <si>
    <t xml:space="preserve">S06</t>
  </si>
  <si>
    <r>
      <rPr>
        <sz val="10"/>
        <color rgb="FF1E2126"/>
        <rFont val="WenQuanYi Zen Hei"/>
        <family val="2"/>
      </rPr>
      <t xml:space="preserve">考える時間</t>
    </r>
    <r>
      <rPr>
        <sz val="10"/>
        <color rgb="FF1E2126"/>
        <rFont val="Meiryo UI"/>
        <family val="0"/>
        <charset val="1"/>
      </rPr>
      <t xml:space="preserve">30</t>
    </r>
    <r>
      <rPr>
        <sz val="10"/>
        <color rgb="FF1E2126"/>
        <rFont val="WenQuanYi Zen Hei"/>
        <family val="2"/>
      </rPr>
      <t xml:space="preserve">秒と「選んだ理由」の確認を足す</t>
    </r>
  </si>
  <si>
    <r>
      <rPr>
        <sz val="10"/>
        <color rgb="FF1E2126"/>
        <rFont val="WenQuanYi Zen Hei"/>
        <family val="2"/>
      </rPr>
      <t xml:space="preserve">先輩のヒント </t>
    </r>
    <r>
      <rPr>
        <sz val="10"/>
        <color rgb="FF1E2126"/>
        <rFont val="Meiryo UI"/>
        <family val="0"/>
        <charset val="1"/>
      </rPr>
      <t xml:space="preserve">P1-Q1</t>
    </r>
  </si>
  <si>
    <t xml:space="preserve">移動</t>
  </si>
  <si>
    <r>
      <rPr>
        <sz val="10"/>
        <color rgb="FF1E2126"/>
        <rFont val="WenQuanYi Zen Hei"/>
        <family val="2"/>
      </rPr>
      <t xml:space="preserve">講師台本（</t>
    </r>
    <r>
      <rPr>
        <sz val="10"/>
        <color rgb="FF1E2126"/>
        <rFont val="Meiryo UI"/>
        <family val="0"/>
        <charset val="1"/>
      </rPr>
      <t xml:space="preserve">S06</t>
    </r>
    <r>
      <rPr>
        <sz val="10"/>
        <color rgb="FF1E2126"/>
        <rFont val="WenQuanYi Zen Hei"/>
        <family val="2"/>
      </rPr>
      <t xml:space="preserve">）</t>
    </r>
  </si>
  <si>
    <t xml:space="preserve">画面に出すと考える前に答えが見える。講師が迷った学生に出す</t>
  </si>
  <si>
    <r>
      <rPr>
        <sz val="10"/>
        <color rgb="FF1E2126"/>
        <rFont val="WenQuanYi Zen Hei"/>
        <family val="2"/>
      </rPr>
      <t xml:space="preserve">分岐</t>
    </r>
    <r>
      <rPr>
        <sz val="10"/>
        <color rgb="FF1E2126"/>
        <rFont val="Meiryo UI"/>
        <family val="0"/>
        <charset val="1"/>
      </rPr>
      <t xml:space="preserve">A</t>
    </r>
    <r>
      <rPr>
        <sz val="10"/>
        <color rgb="FF1E2126"/>
        <rFont val="WenQuanYi Zen Hei"/>
        <family val="2"/>
      </rPr>
      <t xml:space="preserve">　センサを確認</t>
    </r>
  </si>
  <si>
    <t xml:space="preserve">S07</t>
  </si>
  <si>
    <r>
      <rPr>
        <sz val="10"/>
        <color rgb="FF1E2126"/>
        <rFont val="Meiryo UI"/>
        <family val="0"/>
        <charset val="1"/>
      </rPr>
      <t xml:space="preserve">3</t>
    </r>
    <r>
      <rPr>
        <sz val="10"/>
        <color rgb="FF1E2126"/>
        <rFont val="WenQuanYi Zen Hei"/>
        <family val="2"/>
      </rPr>
      <t xml:space="preserve">つの分岐を</t>
    </r>
    <r>
      <rPr>
        <sz val="10"/>
        <color rgb="FF1E2126"/>
        <rFont val="Meiryo UI"/>
        <family val="0"/>
        <charset val="1"/>
      </rPr>
      <t xml:space="preserve">1</t>
    </r>
    <r>
      <rPr>
        <sz val="10"/>
        <color rgb="FF1E2126"/>
        <rFont val="WenQuanYi Zen Hei"/>
        <family val="2"/>
      </rPr>
      <t xml:space="preserve">枚で比べ、判断理由を解説する形に</t>
    </r>
  </si>
  <si>
    <r>
      <rPr>
        <sz val="10"/>
        <color rgb="FF1E2126"/>
        <rFont val="WenQuanYi Zen Hei"/>
        <family val="2"/>
      </rPr>
      <t xml:space="preserve">分岐</t>
    </r>
    <r>
      <rPr>
        <sz val="10"/>
        <color rgb="FF1E2126"/>
        <rFont val="Meiryo UI"/>
        <family val="0"/>
        <charset val="1"/>
      </rPr>
      <t xml:space="preserve">B</t>
    </r>
    <r>
      <rPr>
        <sz val="10"/>
        <color rgb="FF1E2126"/>
        <rFont val="WenQuanYi Zen Hei"/>
        <family val="2"/>
      </rPr>
      <t xml:space="preserve">　いつ・どれくらい</t>
    </r>
  </si>
  <si>
    <t xml:space="preserve">同上（おすすめとして表示）</t>
  </si>
  <si>
    <r>
      <rPr>
        <sz val="10"/>
        <color rgb="FF1E2126"/>
        <rFont val="WenQuanYi Zen Hei"/>
        <family val="2"/>
      </rPr>
      <t xml:space="preserve">分岐</t>
    </r>
    <r>
      <rPr>
        <sz val="10"/>
        <color rgb="FF1E2126"/>
        <rFont val="Meiryo UI"/>
        <family val="0"/>
        <charset val="1"/>
      </rPr>
      <t xml:space="preserve">C</t>
    </r>
    <r>
      <rPr>
        <sz val="10"/>
        <color rgb="FF1E2126"/>
        <rFont val="WenQuanYi Zen Hei"/>
        <family val="2"/>
      </rPr>
      <t xml:space="preserve">　交換を提案</t>
    </r>
  </si>
  <si>
    <t xml:space="preserve">同上</t>
  </si>
  <si>
    <t xml:space="preserve">現状データ</t>
  </si>
  <si>
    <t xml:space="preserve">S08</t>
  </si>
  <si>
    <t xml:space="preserve">グラフで「毎週ではない」を一目で。演習用の設定値と明記</t>
  </si>
  <si>
    <r>
      <rPr>
        <sz val="10"/>
        <color rgb="FF1E2126"/>
        <rFont val="WenQuanYi Zen Hei"/>
        <family val="2"/>
      </rPr>
      <t xml:space="preserve">問い </t>
    </r>
    <r>
      <rPr>
        <sz val="10"/>
        <color rgb="FF1E2126"/>
        <rFont val="Meiryo UI"/>
        <family val="0"/>
        <charset val="1"/>
      </rPr>
      <t xml:space="preserve">P1-Q2</t>
    </r>
  </si>
  <si>
    <t xml:space="preserve">S10</t>
  </si>
  <si>
    <t xml:space="preserve">考える時間と理由の確認を足す</t>
  </si>
  <si>
    <r>
      <rPr>
        <sz val="10"/>
        <color rgb="FF1E2126"/>
        <rFont val="WenQuanYi Zen Hei"/>
        <family val="2"/>
      </rPr>
      <t xml:space="preserve">先輩のヒント </t>
    </r>
    <r>
      <rPr>
        <sz val="10"/>
        <color rgb="FF1E2126"/>
        <rFont val="Meiryo UI"/>
        <family val="0"/>
        <charset val="1"/>
      </rPr>
      <t xml:space="preserve">P1-Q2</t>
    </r>
  </si>
  <si>
    <r>
      <rPr>
        <sz val="10"/>
        <color rgb="FF1E2126"/>
        <rFont val="WenQuanYi Zen Hei"/>
        <family val="2"/>
      </rPr>
      <t xml:space="preserve">講師台本（</t>
    </r>
    <r>
      <rPr>
        <sz val="10"/>
        <color rgb="FF1E2126"/>
        <rFont val="Meiryo UI"/>
        <family val="0"/>
        <charset val="1"/>
      </rPr>
      <t xml:space="preserve">S10</t>
    </r>
    <r>
      <rPr>
        <sz val="10"/>
        <color rgb="FF1E2126"/>
        <rFont val="WenQuanYi Zen Hei"/>
        <family val="2"/>
      </rPr>
      <t xml:space="preserve">）</t>
    </r>
  </si>
  <si>
    <r>
      <rPr>
        <sz val="10"/>
        <color rgb="FF1E2126"/>
        <rFont val="WenQuanYi Zen Hei"/>
        <family val="2"/>
      </rPr>
      <t xml:space="preserve">分岐</t>
    </r>
    <r>
      <rPr>
        <sz val="10"/>
        <color rgb="FF1E2126"/>
        <rFont val="Meiryo UI"/>
        <family val="0"/>
        <charset val="1"/>
      </rPr>
      <t xml:space="preserve">A</t>
    </r>
    <r>
      <rPr>
        <sz val="10"/>
        <color rgb="FF1E2126"/>
        <rFont val="WenQuanYi Zen Hei"/>
        <family val="2"/>
      </rPr>
      <t xml:space="preserve">　ラインを見る</t>
    </r>
  </si>
  <si>
    <t xml:space="preserve">S11</t>
  </si>
  <si>
    <r>
      <rPr>
        <sz val="10"/>
        <color rgb="FF1E2126"/>
        <rFont val="Meiryo UI"/>
        <family val="0"/>
        <charset val="1"/>
      </rPr>
      <t xml:space="preserve">3</t>
    </r>
    <r>
      <rPr>
        <sz val="10"/>
        <color rgb="FF1E2126"/>
        <rFont val="WenQuanYi Zen Hei"/>
        <family val="2"/>
      </rPr>
      <t xml:space="preserve">つの分岐を</t>
    </r>
    <r>
      <rPr>
        <sz val="10"/>
        <color rgb="FF1E2126"/>
        <rFont val="Meiryo UI"/>
        <family val="0"/>
        <charset val="1"/>
      </rPr>
      <t xml:space="preserve">1</t>
    </r>
    <r>
      <rPr>
        <sz val="10"/>
        <color rgb="FF1E2126"/>
        <rFont val="WenQuanYi Zen Hei"/>
        <family val="2"/>
      </rPr>
      <t xml:space="preserve">枚に</t>
    </r>
  </si>
  <si>
    <r>
      <rPr>
        <sz val="10"/>
        <color rgb="FF1E2126"/>
        <rFont val="WenQuanYi Zen Hei"/>
        <family val="2"/>
      </rPr>
      <t xml:space="preserve">分岐</t>
    </r>
    <r>
      <rPr>
        <sz val="10"/>
        <color rgb="FF1E2126"/>
        <rFont val="Meiryo UI"/>
        <family val="0"/>
        <charset val="1"/>
      </rPr>
      <t xml:space="preserve">B</t>
    </r>
    <r>
      <rPr>
        <sz val="10"/>
        <color rgb="FF1E2126"/>
        <rFont val="WenQuanYi Zen Hei"/>
        <family val="2"/>
      </rPr>
      <t xml:space="preserve">　予算を聞く</t>
    </r>
  </si>
  <si>
    <r>
      <rPr>
        <sz val="10"/>
        <color rgb="FF1E2126"/>
        <rFont val="WenQuanYi Zen Hei"/>
        <family val="2"/>
      </rPr>
      <t xml:space="preserve">分岐</t>
    </r>
    <r>
      <rPr>
        <sz val="10"/>
        <color rgb="FF1E2126"/>
        <rFont val="Meiryo UI"/>
        <family val="0"/>
        <charset val="1"/>
      </rPr>
      <t xml:space="preserve">C</t>
    </r>
    <r>
      <rPr>
        <sz val="10"/>
        <color rgb="FF1E2126"/>
        <rFont val="WenQuanYi Zen Hei"/>
        <family val="2"/>
      </rPr>
      <t xml:space="preserve">　使用年数を聞く</t>
    </r>
  </si>
  <si>
    <r>
      <rPr>
        <sz val="10"/>
        <color rgb="FF1E2126"/>
        <rFont val="WenQuanYi Zen Hei"/>
        <family val="2"/>
      </rPr>
      <t xml:space="preserve">同上。「故障の記録なし」は事実として</t>
    </r>
    <r>
      <rPr>
        <sz val="10"/>
        <color rgb="FF1E2126"/>
        <rFont val="Meiryo UI"/>
        <family val="0"/>
        <charset val="1"/>
      </rPr>
      <t xml:space="preserve">S12</t>
    </r>
    <r>
      <rPr>
        <sz val="10"/>
        <color rgb="FF1E2126"/>
        <rFont val="WenQuanYi Zen Hei"/>
        <family val="2"/>
      </rPr>
      <t xml:space="preserve">へ</t>
    </r>
  </si>
  <si>
    <r>
      <rPr>
        <sz val="10"/>
        <color rgb="FF1E2126"/>
        <rFont val="WenQuanYi Zen Hei"/>
        <family val="2"/>
      </rPr>
      <t xml:space="preserve">既設センサの確認（しくみ説明</t>
    </r>
    <r>
      <rPr>
        <sz val="10"/>
        <color rgb="FF1E2126"/>
        <rFont val="Meiryo UI"/>
        <family val="0"/>
        <charset val="1"/>
      </rPr>
      <t xml:space="preserve">5</t>
    </r>
    <r>
      <rPr>
        <sz val="10"/>
        <color rgb="FF1E2126"/>
        <rFont val="WenQuanYi Zen Hei"/>
        <family val="2"/>
      </rPr>
      <t xml:space="preserve">文）</t>
    </r>
  </si>
  <si>
    <t xml:space="preserve">統合（圧縮）</t>
  </si>
  <si>
    <r>
      <rPr>
        <sz val="10"/>
        <color rgb="FF1E2126"/>
        <rFont val="Meiryo UI"/>
        <family val="0"/>
        <charset val="1"/>
      </rPr>
      <t xml:space="preserve">S09</t>
    </r>
    <r>
      <rPr>
        <sz val="10"/>
        <color rgb="FF1E2126"/>
        <rFont val="WenQuanYi Zen Hei"/>
        <family val="2"/>
      </rPr>
      <t xml:space="preserve">・</t>
    </r>
    <r>
      <rPr>
        <sz val="10"/>
        <color rgb="FF1E2126"/>
        <rFont val="Meiryo UI"/>
        <family val="0"/>
        <charset val="1"/>
      </rPr>
      <t xml:space="preserve">S15</t>
    </r>
  </si>
  <si>
    <r>
      <rPr>
        <sz val="10"/>
        <color rgb="FF1E2126"/>
        <rFont val="WenQuanYi Zen Hei"/>
        <family val="2"/>
      </rPr>
      <t xml:space="preserve">技術説明が長い。自転車の反射板の例に置き換え、</t>
    </r>
    <r>
      <rPr>
        <sz val="10"/>
        <color rgb="FF1E2126"/>
        <rFont val="Meiryo UI"/>
        <family val="0"/>
        <charset val="1"/>
      </rPr>
      <t xml:space="preserve">PLC</t>
    </r>
    <r>
      <rPr>
        <sz val="10"/>
        <color rgb="FF1E2126"/>
        <rFont val="WenQuanYi Zen Hei"/>
        <family val="2"/>
      </rPr>
      <t xml:space="preserve">は別スライドで</t>
    </r>
  </si>
  <si>
    <r>
      <rPr>
        <sz val="10"/>
        <color rgb="FF1E2126"/>
        <rFont val="WenQuanYi Zen Hei"/>
        <family val="2"/>
      </rPr>
      <t xml:space="preserve">問い </t>
    </r>
    <r>
      <rPr>
        <sz val="10"/>
        <color rgb="FF1E2126"/>
        <rFont val="Meiryo UI"/>
        <family val="0"/>
        <charset val="1"/>
      </rPr>
      <t xml:space="preserve">P2-Q1</t>
    </r>
    <r>
      <rPr>
        <sz val="10"/>
        <color rgb="FF1E2126"/>
        <rFont val="WenQuanYi Zen Hei"/>
        <family val="2"/>
      </rPr>
      <t xml:space="preserve">　どこから調べる？</t>
    </r>
  </si>
  <si>
    <t xml:space="preserve">変更</t>
  </si>
  <si>
    <t xml:space="preserve">S16</t>
  </si>
  <si>
    <r>
      <rPr>
        <sz val="10"/>
        <color rgb="FF1E2126"/>
        <rFont val="Meiryo UI"/>
        <family val="0"/>
        <charset val="1"/>
      </rPr>
      <t xml:space="preserve">3</t>
    </r>
    <r>
      <rPr>
        <sz val="10"/>
        <color rgb="FF1E2126"/>
        <rFont val="WenQuanYi Zen Hei"/>
        <family val="2"/>
      </rPr>
      <t xml:space="preserve">択→自由記述（仮説を自分で立てる）</t>
    </r>
  </si>
  <si>
    <r>
      <rPr>
        <sz val="10"/>
        <color rgb="FF1E2126"/>
        <rFont val="WenQuanYi Zen Hei"/>
        <family val="2"/>
      </rPr>
      <t xml:space="preserve">先輩のヒント </t>
    </r>
    <r>
      <rPr>
        <sz val="10"/>
        <color rgb="FF1E2126"/>
        <rFont val="Meiryo UI"/>
        <family val="0"/>
        <charset val="1"/>
      </rPr>
      <t xml:space="preserve">P2-Q1</t>
    </r>
  </si>
  <si>
    <t xml:space="preserve">自由記述の「手がかり」として画面に出す</t>
  </si>
  <si>
    <t xml:space="preserve">原因の候補①　ボトルの揺れ</t>
  </si>
  <si>
    <r>
      <rPr>
        <sz val="10"/>
        <color rgb="FF1E2126"/>
        <rFont val="Meiryo UI"/>
        <family val="0"/>
        <charset val="1"/>
      </rPr>
      <t xml:space="preserve">S14</t>
    </r>
    <r>
      <rPr>
        <sz val="10"/>
        <color rgb="FF1E2126"/>
        <rFont val="WenQuanYi Zen Hei"/>
        <family val="2"/>
      </rPr>
      <t xml:space="preserve">・</t>
    </r>
    <r>
      <rPr>
        <sz val="10"/>
        <color rgb="FF1E2126"/>
        <rFont val="Meiryo UI"/>
        <family val="0"/>
        <charset val="1"/>
      </rPr>
      <t xml:space="preserve">S17</t>
    </r>
    <r>
      <rPr>
        <sz val="10"/>
        <color rgb="FF1E2126"/>
        <rFont val="WenQuanYi Zen Hei"/>
        <family val="2"/>
      </rPr>
      <t xml:space="preserve">・</t>
    </r>
    <r>
      <rPr>
        <sz val="10"/>
        <color rgb="FF1E2126"/>
        <rFont val="Meiryo UI"/>
        <family val="0"/>
        <charset val="1"/>
      </rPr>
      <t xml:space="preserve">S18</t>
    </r>
  </si>
  <si>
    <t xml:space="preserve">映像で観察→仮説マップ→事実・仮説・検証の表に整理</t>
  </si>
  <si>
    <t xml:space="preserve">センサ・反射板の確認</t>
  </si>
  <si>
    <r>
      <rPr>
        <sz val="10"/>
        <color rgb="FF1E2126"/>
        <rFont val="Meiryo UI"/>
        <family val="0"/>
        <charset val="1"/>
      </rPr>
      <t xml:space="preserve">S17</t>
    </r>
    <r>
      <rPr>
        <sz val="10"/>
        <color rgb="FF1E2126"/>
        <rFont val="WenQuanYi Zen Hei"/>
        <family val="2"/>
      </rPr>
      <t xml:space="preserve">・</t>
    </r>
    <r>
      <rPr>
        <sz val="10"/>
        <color rgb="FF1E2126"/>
        <rFont val="Meiryo UI"/>
        <family val="0"/>
        <charset val="1"/>
      </rPr>
      <t xml:space="preserve">S18</t>
    </r>
  </si>
  <si>
    <r>
      <rPr>
        <sz val="10"/>
        <color rgb="FF1E2126"/>
        <rFont val="WenQuanYi Zen Hei"/>
        <family val="2"/>
      </rPr>
      <t xml:space="preserve">原因の候補④　制御側の条件（</t>
    </r>
    <r>
      <rPr>
        <sz val="10"/>
        <color rgb="FF1E2126"/>
        <rFont val="Meiryo UI"/>
        <family val="0"/>
        <charset val="1"/>
      </rPr>
      <t xml:space="preserve">PLC</t>
    </r>
    <r>
      <rPr>
        <sz val="10"/>
        <color rgb="FF1E2126"/>
        <rFont val="WenQuanYi Zen Hei"/>
        <family val="2"/>
      </rPr>
      <t xml:space="preserve">）</t>
    </r>
  </si>
  <si>
    <r>
      <rPr>
        <sz val="10"/>
        <color rgb="FF1E2126"/>
        <rFont val="Meiryo UI"/>
        <family val="0"/>
        <charset val="1"/>
      </rPr>
      <t xml:space="preserve">S15</t>
    </r>
    <r>
      <rPr>
        <sz val="10"/>
        <color rgb="FF1E2126"/>
        <rFont val="WenQuanYi Zen Hei"/>
        <family val="2"/>
      </rPr>
      <t xml:space="preserve">・</t>
    </r>
    <r>
      <rPr>
        <sz val="10"/>
        <color rgb="FF1E2126"/>
        <rFont val="Meiryo UI"/>
        <family val="0"/>
        <charset val="1"/>
      </rPr>
      <t xml:space="preserve">S17</t>
    </r>
    <r>
      <rPr>
        <sz val="10"/>
        <color rgb="FF1E2126"/>
        <rFont val="WenQuanYi Zen Hei"/>
        <family val="2"/>
      </rPr>
      <t xml:space="preserve">・</t>
    </r>
    <r>
      <rPr>
        <sz val="10"/>
        <color rgb="FF1E2126"/>
        <rFont val="Meiryo UI"/>
        <family val="0"/>
        <charset val="1"/>
      </rPr>
      <t xml:space="preserve">S18</t>
    </r>
  </si>
  <si>
    <r>
      <rPr>
        <sz val="10"/>
        <color rgb="FF1E2126"/>
        <rFont val="Meiryo UI"/>
        <family val="0"/>
        <charset val="1"/>
      </rPr>
      <t xml:space="preserve">PLC</t>
    </r>
    <r>
      <rPr>
        <sz val="10"/>
        <color rgb="FF1E2126"/>
        <rFont val="WenQuanYi Zen Hei"/>
        <family val="2"/>
      </rPr>
      <t xml:space="preserve">の用語説明を先に置き、仮説として整理</t>
    </r>
  </si>
  <si>
    <t xml:space="preserve">原因の候補③　透明ボトルの光の変化</t>
  </si>
  <si>
    <t xml:space="preserve">S19</t>
  </si>
  <si>
    <t xml:space="preserve">「仮説検証用のイメージ」を明記。通常と仮説を並べて比べる</t>
  </si>
  <si>
    <r>
      <rPr>
        <sz val="10"/>
        <color rgb="FF1E2126"/>
        <rFont val="WenQuanYi Zen Hei"/>
        <family val="2"/>
      </rPr>
      <t xml:space="preserve">問い </t>
    </r>
    <r>
      <rPr>
        <sz val="10"/>
        <color rgb="FF1E2126"/>
        <rFont val="Meiryo UI"/>
        <family val="0"/>
        <charset val="1"/>
      </rPr>
      <t xml:space="preserve">P2-Q2</t>
    </r>
    <r>
      <rPr>
        <sz val="10"/>
        <color rgb="FF1E2126"/>
        <rFont val="WenQuanYi Zen Hei"/>
        <family val="2"/>
      </rPr>
      <t xml:space="preserve">　どう確かめる？</t>
    </r>
  </si>
  <si>
    <t xml:space="preserve">残す</t>
  </si>
  <si>
    <t xml:space="preserve">S20</t>
  </si>
  <si>
    <r>
      <rPr>
        <sz val="10"/>
        <color rgb="FF1E2126"/>
        <rFont val="WenQuanYi Zen Hei"/>
        <family val="2"/>
      </rPr>
      <t xml:space="preserve">先輩のヒント </t>
    </r>
    <r>
      <rPr>
        <sz val="10"/>
        <color rgb="FF1E2126"/>
        <rFont val="Meiryo UI"/>
        <family val="0"/>
        <charset val="1"/>
      </rPr>
      <t xml:space="preserve">P2-Q2</t>
    </r>
  </si>
  <si>
    <r>
      <rPr>
        <sz val="10"/>
        <color rgb="FF1E2126"/>
        <rFont val="WenQuanYi Zen Hei"/>
        <family val="2"/>
      </rPr>
      <t xml:space="preserve">講師台本（</t>
    </r>
    <r>
      <rPr>
        <sz val="10"/>
        <color rgb="FF1E2126"/>
        <rFont val="Meiryo UI"/>
        <family val="0"/>
        <charset val="1"/>
      </rPr>
      <t xml:space="preserve">S20</t>
    </r>
    <r>
      <rPr>
        <sz val="10"/>
        <color rgb="FF1E2126"/>
        <rFont val="WenQuanYi Zen Hei"/>
        <family val="2"/>
      </rPr>
      <t xml:space="preserve">）</t>
    </r>
  </si>
  <si>
    <r>
      <rPr>
        <sz val="10"/>
        <color rgb="FF1E2126"/>
        <rFont val="WenQuanYi Zen Hei"/>
        <family val="2"/>
      </rPr>
      <t xml:space="preserve">分岐</t>
    </r>
    <r>
      <rPr>
        <sz val="10"/>
        <color rgb="FF1E2126"/>
        <rFont val="Meiryo UI"/>
        <family val="0"/>
        <charset val="1"/>
      </rPr>
      <t xml:space="preserve">A</t>
    </r>
    <r>
      <rPr>
        <sz val="10"/>
        <color rgb="FF1E2126"/>
        <rFont val="WenQuanYi Zen Hei"/>
        <family val="2"/>
      </rPr>
      <t xml:space="preserve">　すぐ交換</t>
    </r>
  </si>
  <si>
    <t xml:space="preserve">S21</t>
  </si>
  <si>
    <r>
      <rPr>
        <sz val="10"/>
        <color rgb="FF1E2126"/>
        <rFont val="WenQuanYi Zen Hei"/>
        <family val="2"/>
      </rPr>
      <t xml:space="preserve">お客様の反応は、提案の判断基準（</t>
    </r>
    <r>
      <rPr>
        <sz val="10"/>
        <color rgb="FF1E2126"/>
        <rFont val="Meiryo UI"/>
        <family val="0"/>
        <charset val="1"/>
      </rPr>
      <t xml:space="preserve">S30</t>
    </r>
    <r>
      <rPr>
        <sz val="10"/>
        <color rgb="FF1E2126"/>
        <rFont val="WenQuanYi Zen Hei"/>
        <family val="2"/>
      </rPr>
      <t xml:space="preserve">）にも使う</t>
    </r>
  </si>
  <si>
    <r>
      <rPr>
        <sz val="10"/>
        <color rgb="FF1E2126"/>
        <rFont val="WenQuanYi Zen Hei"/>
        <family val="2"/>
      </rPr>
      <t xml:space="preserve">分岐</t>
    </r>
    <r>
      <rPr>
        <sz val="10"/>
        <color rgb="FF1E2126"/>
        <rFont val="Meiryo UI"/>
        <family val="0"/>
        <charset val="1"/>
      </rPr>
      <t xml:space="preserve">B</t>
    </r>
    <r>
      <rPr>
        <sz val="10"/>
        <color rgb="FF1E2126"/>
        <rFont val="WenQuanYi Zen Hei"/>
        <family val="2"/>
      </rPr>
      <t xml:space="preserve">　同時に記録</t>
    </r>
  </si>
  <si>
    <t xml:space="preserve">切り分けの図にする</t>
  </si>
  <si>
    <r>
      <rPr>
        <sz val="10"/>
        <color rgb="FF1E2126"/>
        <rFont val="WenQuanYi Zen Hei"/>
        <family val="2"/>
      </rPr>
      <t xml:space="preserve">分岐</t>
    </r>
    <r>
      <rPr>
        <sz val="10"/>
        <color rgb="FF1E2126"/>
        <rFont val="Meiryo UI"/>
        <family val="0"/>
        <charset val="1"/>
      </rPr>
      <t xml:space="preserve">C</t>
    </r>
    <r>
      <rPr>
        <sz val="10"/>
        <color rgb="FF1E2126"/>
        <rFont val="WenQuanYi Zen Hei"/>
        <family val="2"/>
      </rPr>
      <t xml:space="preserve">　速度を下げる</t>
    </r>
  </si>
  <si>
    <r>
      <rPr>
        <sz val="10"/>
        <color rgb="FF1E2126"/>
        <rFont val="Meiryo UI"/>
        <family val="0"/>
        <charset val="1"/>
      </rPr>
      <t xml:space="preserve">S21</t>
    </r>
    <r>
      <rPr>
        <sz val="10"/>
        <color rgb="FF1E2126"/>
        <rFont val="WenQuanYi Zen Hei"/>
        <family val="2"/>
      </rPr>
      <t xml:space="preserve">・</t>
    </r>
    <r>
      <rPr>
        <sz val="10"/>
        <color rgb="FF1E2126"/>
        <rFont val="Meiryo UI"/>
        <family val="0"/>
        <charset val="1"/>
      </rPr>
      <t xml:space="preserve">S30</t>
    </r>
  </si>
  <si>
    <t xml:space="preserve">「速度は落とせない」を顧客要求の根拠として再利用</t>
  </si>
  <si>
    <t xml:space="preserve">原因の候補を整理する</t>
  </si>
  <si>
    <r>
      <rPr>
        <sz val="10"/>
        <color rgb="FF1E2126"/>
        <rFont val="Meiryo UI"/>
        <family val="0"/>
        <charset val="1"/>
      </rPr>
      <t xml:space="preserve">S17</t>
    </r>
    <r>
      <rPr>
        <sz val="10"/>
        <color rgb="FF1E2126"/>
        <rFont val="WenQuanYi Zen Hei"/>
        <family val="2"/>
      </rPr>
      <t xml:space="preserve">・</t>
    </r>
    <r>
      <rPr>
        <sz val="10"/>
        <color rgb="FF1E2126"/>
        <rFont val="Meiryo UI"/>
        <family val="0"/>
        <charset val="1"/>
      </rPr>
      <t xml:space="preserve">S22</t>
    </r>
    <r>
      <rPr>
        <sz val="10"/>
        <color rgb="FF1E2126"/>
        <rFont val="WenQuanYi Zen Hei"/>
        <family val="2"/>
      </rPr>
      <t xml:space="preserve">・</t>
    </r>
    <r>
      <rPr>
        <sz val="10"/>
        <color rgb="FF1E2126"/>
        <rFont val="Meiryo UI"/>
        <family val="0"/>
        <charset val="1"/>
      </rPr>
      <t xml:space="preserve">S23</t>
    </r>
  </si>
  <si>
    <t xml:space="preserve">「原因を決めつけずに調べるには？」のワークに発展</t>
  </si>
  <si>
    <t xml:space="preserve">本当の困りごとは？（何とか対応）</t>
  </si>
  <si>
    <t xml:space="preserve">S25</t>
  </si>
  <si>
    <t xml:space="preserve">この一言の裏を考えさせる問いを足す</t>
  </si>
  <si>
    <r>
      <rPr>
        <sz val="10"/>
        <color rgb="FF1E2126"/>
        <rFont val="WenQuanYi Zen Hei"/>
        <family val="2"/>
      </rPr>
      <t xml:space="preserve">問い </t>
    </r>
    <r>
      <rPr>
        <sz val="10"/>
        <color rgb="FF1E2126"/>
        <rFont val="Meiryo UI"/>
        <family val="0"/>
        <charset val="1"/>
      </rPr>
      <t xml:space="preserve">P3-Q1</t>
    </r>
  </si>
  <si>
    <r>
      <rPr>
        <sz val="10"/>
        <color rgb="FF1E2126"/>
        <rFont val="Meiryo UI"/>
        <family val="0"/>
        <charset val="1"/>
      </rPr>
      <t xml:space="preserve">3</t>
    </r>
    <r>
      <rPr>
        <sz val="10"/>
        <color rgb="FF1E2126"/>
        <rFont val="WenQuanYi Zen Hei"/>
        <family val="2"/>
      </rPr>
      <t xml:space="preserve">択→自由記述（何を聞くか）</t>
    </r>
  </si>
  <si>
    <r>
      <rPr>
        <sz val="10"/>
        <color rgb="FF1E2126"/>
        <rFont val="WenQuanYi Zen Hei"/>
        <family val="2"/>
      </rPr>
      <t xml:space="preserve">先輩のヒント </t>
    </r>
    <r>
      <rPr>
        <sz val="10"/>
        <color rgb="FF1E2126"/>
        <rFont val="Meiryo UI"/>
        <family val="0"/>
        <charset val="1"/>
      </rPr>
      <t xml:space="preserve">P3-Q1</t>
    </r>
  </si>
  <si>
    <r>
      <rPr>
        <sz val="10"/>
        <color rgb="FF1E2126"/>
        <rFont val="WenQuanYi Zen Hei"/>
        <family val="2"/>
      </rPr>
      <t xml:space="preserve">講師台本（</t>
    </r>
    <r>
      <rPr>
        <sz val="10"/>
        <color rgb="FF1E2126"/>
        <rFont val="Meiryo UI"/>
        <family val="0"/>
        <charset val="1"/>
      </rPr>
      <t xml:space="preserve">S25</t>
    </r>
    <r>
      <rPr>
        <sz val="10"/>
        <color rgb="FF1E2126"/>
        <rFont val="WenQuanYi Zen Hei"/>
        <family val="2"/>
      </rPr>
      <t xml:space="preserve">）</t>
    </r>
  </si>
  <si>
    <t xml:space="preserve">確認の手間を聞く</t>
  </si>
  <si>
    <t xml:space="preserve">S26</t>
  </si>
  <si>
    <t xml:space="preserve">業務への影響の発見</t>
  </si>
  <si>
    <t xml:space="preserve">価格を聞く</t>
  </si>
  <si>
    <t xml:space="preserve">側面の比較として小さく</t>
  </si>
  <si>
    <t xml:space="preserve">他社の事例を聞く</t>
  </si>
  <si>
    <r>
      <rPr>
        <sz val="10"/>
        <color rgb="FF1E2126"/>
        <rFont val="WenQuanYi Zen Hei"/>
        <family val="2"/>
      </rPr>
      <t xml:space="preserve">問い </t>
    </r>
    <r>
      <rPr>
        <sz val="10"/>
        <color rgb="FF1E2126"/>
        <rFont val="Meiryo UI"/>
        <family val="0"/>
        <charset val="1"/>
      </rPr>
      <t xml:space="preserve">P3-Q2</t>
    </r>
    <r>
      <rPr>
        <sz val="10"/>
        <color rgb="FF1E2126"/>
        <rFont val="WenQuanYi Zen Hei"/>
        <family val="2"/>
      </rPr>
      <t xml:space="preserve">　本当の困りごと</t>
    </r>
  </si>
  <si>
    <t xml:space="preserve">S27</t>
  </si>
  <si>
    <r>
      <rPr>
        <sz val="10"/>
        <color rgb="FF1E2126"/>
        <rFont val="Meiryo UI"/>
        <family val="0"/>
        <charset val="1"/>
      </rPr>
      <t xml:space="preserve">3</t>
    </r>
    <r>
      <rPr>
        <sz val="10"/>
        <color rgb="FF1E2126"/>
        <rFont val="WenQuanYi Zen Hei"/>
        <family val="2"/>
      </rPr>
      <t xml:space="preserve">択→自由記述ワーク「誤カウントがなくなると、何がうれしい？」</t>
    </r>
  </si>
  <si>
    <r>
      <rPr>
        <sz val="10"/>
        <color rgb="FF1E2126"/>
        <rFont val="WenQuanYi Zen Hei"/>
        <family val="2"/>
      </rPr>
      <t xml:space="preserve">先輩のヒント </t>
    </r>
    <r>
      <rPr>
        <sz val="10"/>
        <color rgb="FF1E2126"/>
        <rFont val="Meiryo UI"/>
        <family val="0"/>
        <charset val="1"/>
      </rPr>
      <t xml:space="preserve">P3-Q2</t>
    </r>
  </si>
  <si>
    <r>
      <rPr>
        <sz val="10"/>
        <color rgb="FF1E2126"/>
        <rFont val="WenQuanYi Zen Hei"/>
        <family val="2"/>
      </rPr>
      <t xml:space="preserve">講師台本（</t>
    </r>
    <r>
      <rPr>
        <sz val="10"/>
        <color rgb="FF1E2126"/>
        <rFont val="Meiryo UI"/>
        <family val="0"/>
        <charset val="1"/>
      </rPr>
      <t xml:space="preserve">S27</t>
    </r>
    <r>
      <rPr>
        <sz val="10"/>
        <color rgb="FF1E2126"/>
        <rFont val="WenQuanYi Zen Hei"/>
        <family val="2"/>
      </rPr>
      <t xml:space="preserve">）</t>
    </r>
  </si>
  <si>
    <r>
      <rPr>
        <sz val="10"/>
        <color rgb="FF1E2126"/>
        <rFont val="WenQuanYi Zen Hei"/>
        <family val="2"/>
      </rPr>
      <t xml:space="preserve">分岐</t>
    </r>
    <r>
      <rPr>
        <sz val="10"/>
        <color rgb="FF1E2126"/>
        <rFont val="Meiryo UI"/>
        <family val="0"/>
        <charset val="1"/>
      </rPr>
      <t xml:space="preserve">A</t>
    </r>
    <r>
      <rPr>
        <sz val="10"/>
        <color rgb="FF1E2126"/>
        <rFont val="WenQuanYi Zen Hei"/>
        <family val="2"/>
      </rPr>
      <t xml:space="preserve">　メーカーが原因？</t>
    </r>
  </si>
  <si>
    <t xml:space="preserve">削除</t>
  </si>
  <si>
    <r>
      <rPr>
        <sz val="10"/>
        <color rgb="FF1E2126"/>
        <rFont val="WenQuanYi Zen Hei"/>
        <family val="2"/>
      </rPr>
      <t xml:space="preserve">講師台本（</t>
    </r>
    <r>
      <rPr>
        <sz val="10"/>
        <color rgb="FF1E2126"/>
        <rFont val="Meiryo UI"/>
        <family val="0"/>
        <charset val="1"/>
      </rPr>
      <t xml:space="preserve">S27</t>
    </r>
    <r>
      <rPr>
        <sz val="10"/>
        <color rgb="FF1E2126"/>
        <rFont val="WenQuanYi Zen Hei"/>
        <family val="2"/>
      </rPr>
      <t xml:space="preserve">の想定回答）</t>
    </r>
  </si>
  <si>
    <t xml:space="preserve">「他社製だから」という見方を画面に出さない。出たら講師が扱う</t>
  </si>
  <si>
    <r>
      <rPr>
        <sz val="10"/>
        <color rgb="FF1E2126"/>
        <rFont val="WenQuanYi Zen Hei"/>
        <family val="2"/>
      </rPr>
      <t xml:space="preserve">分岐</t>
    </r>
    <r>
      <rPr>
        <sz val="10"/>
        <color rgb="FF1E2126"/>
        <rFont val="Meiryo UI"/>
        <family val="0"/>
        <charset val="1"/>
      </rPr>
      <t xml:space="preserve">B</t>
    </r>
    <r>
      <rPr>
        <sz val="10"/>
        <color rgb="FF1E2126"/>
        <rFont val="WenQuanYi Zen Hei"/>
        <family val="2"/>
      </rPr>
      <t xml:space="preserve">　負担が本当の困りごと</t>
    </r>
  </si>
  <si>
    <r>
      <rPr>
        <sz val="10"/>
        <color rgb="FF1E2126"/>
        <rFont val="Meiryo UI"/>
        <family val="0"/>
        <charset val="1"/>
      </rPr>
      <t xml:space="preserve">S28</t>
    </r>
    <r>
      <rPr>
        <sz val="10"/>
        <color rgb="FF1E2126"/>
        <rFont val="WenQuanYi Zen Hei"/>
        <family val="2"/>
      </rPr>
      <t xml:space="preserve">・</t>
    </r>
    <r>
      <rPr>
        <sz val="10"/>
        <color rgb="FF1E2126"/>
        <rFont val="Meiryo UI"/>
        <family val="0"/>
        <charset val="1"/>
      </rPr>
      <t xml:space="preserve">S29</t>
    </r>
  </si>
  <si>
    <r>
      <rPr>
        <sz val="10"/>
        <color rgb="FF1E2126"/>
        <rFont val="Meiryo UI"/>
        <family val="0"/>
        <charset val="1"/>
      </rPr>
      <t xml:space="preserve">3</t>
    </r>
    <r>
      <rPr>
        <sz val="10"/>
        <color rgb="FF1E2126"/>
        <rFont val="WenQuanYi Zen Hei"/>
        <family val="2"/>
      </rPr>
      <t xml:space="preserve">段構造。</t>
    </r>
    <r>
      <rPr>
        <sz val="10"/>
        <color rgb="FF1E2126"/>
        <rFont val="Meiryo UI"/>
        <family val="0"/>
        <charset val="1"/>
      </rPr>
      <t xml:space="preserve">3</t>
    </r>
    <r>
      <rPr>
        <sz val="10"/>
        <color rgb="FF1E2126"/>
        <rFont val="WenQuanYi Zen Hei"/>
        <family val="2"/>
      </rPr>
      <t xml:space="preserve">段目を伏せて学生に言わせてから見せる</t>
    </r>
  </si>
  <si>
    <r>
      <rPr>
        <sz val="10"/>
        <color rgb="FF1E2126"/>
        <rFont val="WenQuanYi Zen Hei"/>
        <family val="2"/>
      </rPr>
      <t xml:space="preserve">分岐</t>
    </r>
    <r>
      <rPr>
        <sz val="10"/>
        <color rgb="FF1E2126"/>
        <rFont val="Meiryo UI"/>
        <family val="0"/>
        <charset val="1"/>
      </rPr>
      <t xml:space="preserve">C</t>
    </r>
    <r>
      <rPr>
        <sz val="10"/>
        <color rgb="FF1E2126"/>
        <rFont val="WenQuanYi Zen Hei"/>
        <family val="2"/>
      </rPr>
      <t xml:space="preserve">　価格が課題？</t>
    </r>
  </si>
  <si>
    <t xml:space="preserve">S29</t>
  </si>
  <si>
    <t xml:space="preserve">佐藤さん「価格より安定」を答え合わせに使う</t>
  </si>
  <si>
    <t xml:space="preserve">見えてきた課題</t>
  </si>
  <si>
    <t xml:space="preserve">残す（強化）</t>
  </si>
  <si>
    <t xml:space="preserve">S30</t>
  </si>
  <si>
    <t xml:space="preserve">顧客要求＝提案の判断基準として整理し、提案パートにつなぐ</t>
  </si>
  <si>
    <t xml:space="preserve">解決提案へ</t>
  </si>
  <si>
    <t xml:space="preserve">S32</t>
  </si>
  <si>
    <r>
      <rPr>
        <sz val="10"/>
        <color rgb="FF1E2126"/>
        <rFont val="WenQuanYi Zen Hei"/>
        <family val="2"/>
      </rPr>
      <t xml:space="preserve">提案の</t>
    </r>
    <r>
      <rPr>
        <sz val="10"/>
        <color rgb="FF1E2126"/>
        <rFont val="Meiryo UI"/>
        <family val="0"/>
        <charset val="1"/>
      </rPr>
      <t xml:space="preserve">6</t>
    </r>
    <r>
      <rPr>
        <sz val="10"/>
        <color rgb="FF1E2126"/>
        <rFont val="WenQuanYi Zen Hei"/>
        <family val="2"/>
      </rPr>
      <t xml:space="preserve">ステップの中に置く</t>
    </r>
  </si>
  <si>
    <r>
      <rPr>
        <sz val="10"/>
        <color rgb="FF1E2126"/>
        <rFont val="WenQuanYi Zen Hei"/>
        <family val="2"/>
      </rPr>
      <t xml:space="preserve">問い </t>
    </r>
    <r>
      <rPr>
        <sz val="10"/>
        <color rgb="FF1E2126"/>
        <rFont val="Meiryo UI"/>
        <family val="0"/>
        <charset val="1"/>
      </rPr>
      <t xml:space="preserve">P4-Q1</t>
    </r>
    <r>
      <rPr>
        <sz val="10"/>
        <color rgb="FF1E2126"/>
        <rFont val="WenQuanYi Zen Hei"/>
        <family val="2"/>
      </rPr>
      <t xml:space="preserve">　どう提案する？</t>
    </r>
  </si>
  <si>
    <t xml:space="preserve">S35</t>
  </si>
  <si>
    <r>
      <rPr>
        <sz val="10"/>
        <color rgb="FF1E2126"/>
        <rFont val="Meiryo UI"/>
        <family val="0"/>
        <charset val="1"/>
      </rPr>
      <t xml:space="preserve">3</t>
    </r>
    <r>
      <rPr>
        <sz val="10"/>
        <color rgb="FF1E2126"/>
        <rFont val="WenQuanYi Zen Hei"/>
        <family val="2"/>
      </rPr>
      <t xml:space="preserve">択→模擬提案ワーク（自分の言葉で）</t>
    </r>
  </si>
  <si>
    <r>
      <rPr>
        <sz val="10"/>
        <color rgb="FF1E2126"/>
        <rFont val="WenQuanYi Zen Hei"/>
        <family val="2"/>
      </rPr>
      <t xml:space="preserve">先輩のヒント </t>
    </r>
    <r>
      <rPr>
        <sz val="10"/>
        <color rgb="FF1E2126"/>
        <rFont val="Meiryo UI"/>
        <family val="0"/>
        <charset val="1"/>
      </rPr>
      <t xml:space="preserve">P4-Q1</t>
    </r>
  </si>
  <si>
    <t xml:space="preserve">提案の型（穴埋め）として渡す</t>
  </si>
  <si>
    <r>
      <rPr>
        <sz val="10"/>
        <color rgb="FF1E2126"/>
        <rFont val="WenQuanYi Zen Hei"/>
        <family val="2"/>
      </rPr>
      <t xml:space="preserve">分岐</t>
    </r>
    <r>
      <rPr>
        <sz val="10"/>
        <color rgb="FF1E2126"/>
        <rFont val="Meiryo UI"/>
        <family val="0"/>
        <charset val="1"/>
      </rPr>
      <t xml:space="preserve">A</t>
    </r>
    <r>
      <rPr>
        <sz val="10"/>
        <color rgb="FF1E2126"/>
        <rFont val="WenQuanYi Zen Hei"/>
        <family val="2"/>
      </rPr>
      <t xml:space="preserve">　高性能センサへ交換</t>
    </r>
  </si>
  <si>
    <r>
      <rPr>
        <sz val="10"/>
        <color rgb="FF1E2126"/>
        <rFont val="WenQuanYi Zen Hei"/>
        <family val="2"/>
      </rPr>
      <t xml:space="preserve">講師台本（</t>
    </r>
    <r>
      <rPr>
        <sz val="10"/>
        <color rgb="FF1E2126"/>
        <rFont val="Meiryo UI"/>
        <family val="0"/>
        <charset val="1"/>
      </rPr>
      <t xml:space="preserve">S36</t>
    </r>
    <r>
      <rPr>
        <sz val="10"/>
        <color rgb="FF1E2126"/>
        <rFont val="WenQuanYi Zen Hei"/>
        <family val="2"/>
      </rPr>
      <t xml:space="preserve">のフィードバック）</t>
    </r>
  </si>
  <si>
    <t xml:space="preserve">よく出る提案として講師が扱う</t>
  </si>
  <si>
    <r>
      <rPr>
        <sz val="10"/>
        <color rgb="FF1E2126"/>
        <rFont val="WenQuanYi Zen Hei"/>
        <family val="2"/>
      </rPr>
      <t xml:space="preserve">分岐</t>
    </r>
    <r>
      <rPr>
        <sz val="10"/>
        <color rgb="FF1E2126"/>
        <rFont val="Meiryo UI"/>
        <family val="0"/>
        <charset val="1"/>
      </rPr>
      <t xml:space="preserve">B</t>
    </r>
    <r>
      <rPr>
        <sz val="10"/>
        <color rgb="FF1E2126"/>
        <rFont val="WenQuanYi Zen Hei"/>
        <family val="2"/>
      </rPr>
      <t xml:space="preserve">　</t>
    </r>
    <r>
      <rPr>
        <sz val="10"/>
        <color rgb="FF1E2126"/>
        <rFont val="Meiryo UI"/>
        <family val="0"/>
        <charset val="1"/>
      </rPr>
      <t xml:space="preserve">KR-Q</t>
    </r>
    <r>
      <rPr>
        <sz val="10"/>
        <color rgb="FF1E2126"/>
        <rFont val="WenQuanYi Zen Hei"/>
        <family val="2"/>
      </rPr>
      <t xml:space="preserve">で実ボトル検証</t>
    </r>
  </si>
  <si>
    <t xml:space="preserve">S37</t>
  </si>
  <si>
    <t xml:space="preserve">学生の発表のあとに、お客様の反応として見せる</t>
  </si>
  <si>
    <r>
      <rPr>
        <sz val="10"/>
        <color rgb="FF1E2126"/>
        <rFont val="WenQuanYi Zen Hei"/>
        <family val="2"/>
      </rPr>
      <t xml:space="preserve">分岐</t>
    </r>
    <r>
      <rPr>
        <sz val="10"/>
        <color rgb="FF1E2126"/>
        <rFont val="Meiryo UI"/>
        <family val="0"/>
        <charset val="1"/>
      </rPr>
      <t xml:space="preserve">C</t>
    </r>
    <r>
      <rPr>
        <sz val="10"/>
        <color rgb="FF1E2126"/>
        <rFont val="WenQuanYi Zen Hei"/>
        <family val="2"/>
      </rPr>
      <t xml:space="preserve">　人が再確認</t>
    </r>
  </si>
  <si>
    <t xml:space="preserve">「人の作業は増やしたくない」を顧客要求の根拠に</t>
  </si>
  <si>
    <r>
      <rPr>
        <sz val="10"/>
        <color rgb="FF1E2126"/>
        <rFont val="Meiryo UI"/>
        <family val="0"/>
        <charset val="1"/>
      </rPr>
      <t xml:space="preserve">KR-Q</t>
    </r>
    <r>
      <rPr>
        <sz val="10"/>
        <color rgb="FF1E2126"/>
        <rFont val="WenQuanYi Zen Hei"/>
        <family val="2"/>
      </rPr>
      <t xml:space="preserve">シリーズの説明</t>
    </r>
  </si>
  <si>
    <t xml:space="preserve">S33</t>
  </si>
  <si>
    <t xml:space="preserve">確認できた情報だけに絞る。「必ず直る」と言わない</t>
  </si>
  <si>
    <t xml:space="preserve">設置と比較デモ（同条件）</t>
  </si>
  <si>
    <t xml:space="preserve">S34</t>
  </si>
  <si>
    <r>
      <rPr>
        <sz val="10"/>
        <color rgb="FF1E2126"/>
        <rFont val="WenQuanYi Zen Hei"/>
        <family val="2"/>
      </rPr>
      <t xml:space="preserve">検証計画（同じにする・変える・記録・合格基準）として</t>
    </r>
    <r>
      <rPr>
        <sz val="10"/>
        <color rgb="FF1E2126"/>
        <rFont val="Meiryo UI"/>
        <family val="0"/>
        <charset val="1"/>
      </rPr>
      <t xml:space="preserve">1</t>
    </r>
    <r>
      <rPr>
        <sz val="10"/>
        <color rgb="FF1E2126"/>
        <rFont val="WenQuanYi Zen Hei"/>
        <family val="2"/>
      </rPr>
      <t xml:space="preserve">枚に</t>
    </r>
  </si>
  <si>
    <r>
      <rPr>
        <sz val="10"/>
        <color rgb="FF1E2126"/>
        <rFont val="WenQuanYi Zen Hei"/>
        <family val="2"/>
      </rPr>
      <t xml:space="preserve">問い </t>
    </r>
    <r>
      <rPr>
        <sz val="10"/>
        <color rgb="FF1E2126"/>
        <rFont val="Meiryo UI"/>
        <family val="0"/>
        <charset val="1"/>
      </rPr>
      <t xml:space="preserve">P4-Q2</t>
    </r>
    <r>
      <rPr>
        <sz val="10"/>
        <color rgb="FF1E2126"/>
        <rFont val="WenQuanYi Zen Hei"/>
        <family val="2"/>
      </rPr>
      <t xml:space="preserve">　デモで何を確認？</t>
    </r>
  </si>
  <si>
    <t xml:space="preserve">講師の問いかけに</t>
  </si>
  <si>
    <r>
      <rPr>
        <sz val="10"/>
        <color rgb="FF1E2126"/>
        <rFont val="WenQuanYi Zen Hei"/>
        <family val="2"/>
      </rPr>
      <t xml:space="preserve">先輩のヒント </t>
    </r>
    <r>
      <rPr>
        <sz val="10"/>
        <color rgb="FF1E2126"/>
        <rFont val="Meiryo UI"/>
        <family val="0"/>
        <charset val="1"/>
      </rPr>
      <t xml:space="preserve">P4-Q2</t>
    </r>
  </si>
  <si>
    <r>
      <rPr>
        <sz val="10"/>
        <color rgb="FF1E2126"/>
        <rFont val="WenQuanYi Zen Hei"/>
        <family val="2"/>
      </rPr>
      <t xml:space="preserve">講師台本（</t>
    </r>
    <r>
      <rPr>
        <sz val="10"/>
        <color rgb="FF1E2126"/>
        <rFont val="Meiryo UI"/>
        <family val="0"/>
        <charset val="1"/>
      </rPr>
      <t xml:space="preserve">S34</t>
    </r>
    <r>
      <rPr>
        <sz val="10"/>
        <color rgb="FF1E2126"/>
        <rFont val="WenQuanYi Zen Hei"/>
        <family val="2"/>
      </rPr>
      <t xml:space="preserve">）</t>
    </r>
  </si>
  <si>
    <r>
      <rPr>
        <sz val="10"/>
        <color rgb="FF1E2126"/>
        <rFont val="WenQuanYi Zen Hei"/>
        <family val="2"/>
      </rPr>
      <t xml:space="preserve">分岐</t>
    </r>
    <r>
      <rPr>
        <sz val="10"/>
        <color rgb="FF1E2126"/>
        <rFont val="Meiryo UI"/>
        <family val="0"/>
        <charset val="1"/>
      </rPr>
      <t xml:space="preserve">A</t>
    </r>
    <r>
      <rPr>
        <sz val="10"/>
        <color rgb="FF1E2126"/>
        <rFont val="WenQuanYi Zen Hei"/>
        <family val="2"/>
      </rPr>
      <t xml:space="preserve">　見た目</t>
    </r>
  </si>
  <si>
    <t xml:space="preserve">選択肢として弱く、時間に見合わない</t>
  </si>
  <si>
    <r>
      <rPr>
        <sz val="10"/>
        <color rgb="FF1E2126"/>
        <rFont val="WenQuanYi Zen Hei"/>
        <family val="2"/>
      </rPr>
      <t xml:space="preserve">分岐</t>
    </r>
    <r>
      <rPr>
        <sz val="10"/>
        <color rgb="FF1E2126"/>
        <rFont val="Meiryo UI"/>
        <family val="0"/>
        <charset val="1"/>
      </rPr>
      <t xml:space="preserve">B</t>
    </r>
    <r>
      <rPr>
        <sz val="10"/>
        <color rgb="FF1E2126"/>
        <rFont val="WenQuanYi Zen Hei"/>
        <family val="2"/>
      </rPr>
      <t xml:space="preserve">　</t>
    </r>
    <r>
      <rPr>
        <sz val="10"/>
        <color rgb="FF1E2126"/>
        <rFont val="Meiryo UI"/>
        <family val="0"/>
        <charset val="1"/>
      </rPr>
      <t xml:space="preserve">1</t>
    </r>
    <r>
      <rPr>
        <sz val="10"/>
        <color rgb="FF1E2126"/>
        <rFont val="WenQuanYi Zen Hei"/>
        <family val="2"/>
      </rPr>
      <t xml:space="preserve">本</t>
    </r>
    <r>
      <rPr>
        <sz val="10"/>
        <color rgb="FF1E2126"/>
        <rFont val="Meiryo UI"/>
        <family val="0"/>
        <charset val="1"/>
      </rPr>
      <t xml:space="preserve">1</t>
    </r>
    <r>
      <rPr>
        <sz val="10"/>
        <color rgb="FF1E2126"/>
        <rFont val="WenQuanYi Zen Hei"/>
        <family val="2"/>
      </rPr>
      <t xml:space="preserve">回・本数一致</t>
    </r>
  </si>
  <si>
    <t xml:space="preserve">合格基準として表示</t>
  </si>
  <si>
    <r>
      <rPr>
        <sz val="10"/>
        <color rgb="FF1E2126"/>
        <rFont val="WenQuanYi Zen Hei"/>
        <family val="2"/>
      </rPr>
      <t xml:space="preserve">分岐</t>
    </r>
    <r>
      <rPr>
        <sz val="10"/>
        <color rgb="FF1E2126"/>
        <rFont val="Meiryo UI"/>
        <family val="0"/>
        <charset val="1"/>
      </rPr>
      <t xml:space="preserve">C</t>
    </r>
    <r>
      <rPr>
        <sz val="10"/>
        <color rgb="FF1E2126"/>
        <rFont val="WenQuanYi Zen Hei"/>
        <family val="2"/>
      </rPr>
      <t xml:space="preserve">　カタログのページ数</t>
    </r>
  </si>
  <si>
    <t xml:space="preserve">―</t>
  </si>
  <si>
    <t xml:space="preserve">結果の比較</t>
  </si>
  <si>
    <t xml:space="preserve">「実測・シミュレーション・期待は分ける」は講師台本で補足</t>
  </si>
  <si>
    <r>
      <rPr>
        <sz val="10"/>
        <color rgb="FF1E2126"/>
        <rFont val="WenQuanYi Zen Hei"/>
        <family val="2"/>
      </rPr>
      <t xml:space="preserve">問い </t>
    </r>
    <r>
      <rPr>
        <sz val="10"/>
        <color rgb="FF1E2126"/>
        <rFont val="Meiryo UI"/>
        <family val="0"/>
        <charset val="1"/>
      </rPr>
      <t xml:space="preserve">P4-Q3</t>
    </r>
    <r>
      <rPr>
        <sz val="10"/>
        <color rgb="FF1E2126"/>
        <rFont val="WenQuanYi Zen Hei"/>
        <family val="2"/>
      </rPr>
      <t xml:space="preserve">　すぐ採用？</t>
    </r>
  </si>
  <si>
    <t xml:space="preserve">S38</t>
  </si>
  <si>
    <r>
      <rPr>
        <sz val="10"/>
        <color rgb="FF1E2126"/>
        <rFont val="WenQuanYi Zen Hei"/>
        <family val="2"/>
      </rPr>
      <t xml:space="preserve">先輩のヒント </t>
    </r>
    <r>
      <rPr>
        <sz val="10"/>
        <color rgb="FF1E2126"/>
        <rFont val="Meiryo UI"/>
        <family val="0"/>
        <charset val="1"/>
      </rPr>
      <t xml:space="preserve">P4-Q3</t>
    </r>
  </si>
  <si>
    <r>
      <rPr>
        <sz val="10"/>
        <color rgb="FF1E2126"/>
        <rFont val="WenQuanYi Zen Hei"/>
        <family val="2"/>
      </rPr>
      <t xml:space="preserve">講師台本（</t>
    </r>
    <r>
      <rPr>
        <sz val="10"/>
        <color rgb="FF1E2126"/>
        <rFont val="Meiryo UI"/>
        <family val="0"/>
        <charset val="1"/>
      </rPr>
      <t xml:space="preserve">S38</t>
    </r>
    <r>
      <rPr>
        <sz val="10"/>
        <color rgb="FF1E2126"/>
        <rFont val="WenQuanYi Zen Hei"/>
        <family val="2"/>
      </rPr>
      <t xml:space="preserve">）</t>
    </r>
  </si>
  <si>
    <r>
      <rPr>
        <sz val="10"/>
        <color rgb="FF1E2126"/>
        <rFont val="WenQuanYi Zen Hei"/>
        <family val="2"/>
      </rPr>
      <t xml:space="preserve">分岐</t>
    </r>
    <r>
      <rPr>
        <sz val="10"/>
        <color rgb="FF1E2126"/>
        <rFont val="Meiryo UI"/>
        <family val="0"/>
        <charset val="1"/>
      </rPr>
      <t xml:space="preserve">A</t>
    </r>
    <r>
      <rPr>
        <sz val="10"/>
        <color rgb="FF1E2126"/>
        <rFont val="WenQuanYi Zen Hei"/>
        <family val="2"/>
      </rPr>
      <t xml:space="preserve">　すぐ採用</t>
    </r>
  </si>
  <si>
    <t xml:space="preserve">講師台本の想定回答に</t>
  </si>
  <si>
    <r>
      <rPr>
        <sz val="10"/>
        <color rgb="FF1E2126"/>
        <rFont val="WenQuanYi Zen Hei"/>
        <family val="2"/>
      </rPr>
      <t xml:space="preserve">分岐</t>
    </r>
    <r>
      <rPr>
        <sz val="10"/>
        <color rgb="FF1E2126"/>
        <rFont val="Meiryo UI"/>
        <family val="0"/>
        <charset val="1"/>
      </rPr>
      <t xml:space="preserve">B</t>
    </r>
    <r>
      <rPr>
        <sz val="10"/>
        <color rgb="FF1E2126"/>
        <rFont val="WenQuanYi Zen Hei"/>
        <family val="2"/>
      </rPr>
      <t xml:space="preserve">　実ラインで検証</t>
    </r>
  </si>
  <si>
    <r>
      <rPr>
        <sz val="10"/>
        <color rgb="FF1E2126"/>
        <rFont val="Meiryo UI"/>
        <family val="0"/>
        <charset val="1"/>
      </rPr>
      <t xml:space="preserve">S37</t>
    </r>
    <r>
      <rPr>
        <sz val="10"/>
        <color rgb="FF1E2126"/>
        <rFont val="WenQuanYi Zen Hei"/>
        <family val="2"/>
      </rPr>
      <t xml:space="preserve">・</t>
    </r>
    <r>
      <rPr>
        <sz val="10"/>
        <color rgb="FF1E2126"/>
        <rFont val="Meiryo UI"/>
        <family val="0"/>
        <charset val="1"/>
      </rPr>
      <t xml:space="preserve">S38</t>
    </r>
  </si>
  <si>
    <t xml:space="preserve">お客様が前向きになる場面と、次の一歩の合意に</t>
  </si>
  <si>
    <r>
      <rPr>
        <sz val="10"/>
        <color rgb="FF1E2126"/>
        <rFont val="WenQuanYi Zen Hei"/>
        <family val="2"/>
      </rPr>
      <t xml:space="preserve">分岐</t>
    </r>
    <r>
      <rPr>
        <sz val="10"/>
        <color rgb="FF1E2126"/>
        <rFont val="Meiryo UI"/>
        <family val="0"/>
        <charset val="1"/>
      </rPr>
      <t xml:space="preserve">C</t>
    </r>
    <r>
      <rPr>
        <sz val="10"/>
        <color rgb="FF1E2126"/>
        <rFont val="WenQuanYi Zen Hei"/>
        <family val="2"/>
      </rPr>
      <t xml:space="preserve">　カタログで判断</t>
    </r>
  </si>
  <si>
    <t xml:space="preserve">時間に見合わない</t>
  </si>
  <si>
    <t xml:space="preserve">基準に届かなかったとき</t>
  </si>
  <si>
    <r>
      <rPr>
        <sz val="10"/>
        <color rgb="FF1E2126"/>
        <rFont val="Meiryo UI"/>
        <family val="0"/>
        <charset val="1"/>
      </rPr>
      <t xml:space="preserve">S38</t>
    </r>
    <r>
      <rPr>
        <sz val="10"/>
        <color rgb="FF1E2126"/>
        <rFont val="WenQuanYi Zen Hei"/>
        <family val="2"/>
      </rPr>
      <t xml:space="preserve">（</t>
    </r>
    <r>
      <rPr>
        <sz val="10"/>
        <color rgb="FF1E2126"/>
        <rFont val="Meiryo UI"/>
        <family val="0"/>
        <charset val="1"/>
      </rPr>
      <t xml:space="preserve">1</t>
    </r>
    <r>
      <rPr>
        <sz val="10"/>
        <color rgb="FF1E2126"/>
        <rFont val="WenQuanYi Zen Hei"/>
        <family val="2"/>
      </rPr>
      <t xml:space="preserve">行）・補足</t>
    </r>
    <r>
      <rPr>
        <sz val="10"/>
        <color rgb="FF1E2126"/>
        <rFont val="Meiryo UI"/>
        <family val="0"/>
        <charset val="1"/>
      </rPr>
      <t xml:space="preserve">X05</t>
    </r>
  </si>
  <si>
    <r>
      <rPr>
        <sz val="10"/>
        <color rgb="FF1E2126"/>
        <rFont val="WenQuanYi Zen Hei"/>
        <family val="2"/>
      </rPr>
      <t xml:space="preserve">大切な考え方だが、本編は</t>
    </r>
    <r>
      <rPr>
        <sz val="10"/>
        <color rgb="FF1E2126"/>
        <rFont val="Meiryo UI"/>
        <family val="0"/>
        <charset val="1"/>
      </rPr>
      <t xml:space="preserve">1</t>
    </r>
    <r>
      <rPr>
        <sz val="10"/>
        <color rgb="FF1E2126"/>
        <rFont val="WenQuanYi Zen Hei"/>
        <family val="2"/>
      </rPr>
      <t xml:space="preserve">行に</t>
    </r>
  </si>
  <si>
    <t xml:space="preserve">次のアクション</t>
  </si>
  <si>
    <t xml:space="preserve">だれが何をするかを明確に</t>
  </si>
  <si>
    <t xml:space="preserve">振り返り　最初に何を聞いた？</t>
  </si>
  <si>
    <t xml:space="preserve">S40</t>
  </si>
  <si>
    <r>
      <rPr>
        <sz val="10"/>
        <color rgb="FF1E2126"/>
        <rFont val="Meiryo UI"/>
        <family val="0"/>
        <charset val="1"/>
      </rPr>
      <t xml:space="preserve">5</t>
    </r>
    <r>
      <rPr>
        <sz val="10"/>
        <color rgb="FF1E2126"/>
        <rFont val="WenQuanYi Zen Hei"/>
        <family val="2"/>
      </rPr>
      <t xml:space="preserve">つのステップで</t>
    </r>
    <r>
      <rPr>
        <sz val="10"/>
        <color rgb="FF1E2126"/>
        <rFont val="Meiryo UI"/>
        <family val="0"/>
        <charset val="1"/>
      </rPr>
      <t xml:space="preserve">1</t>
    </r>
    <r>
      <rPr>
        <sz val="10"/>
        <color rgb="FF1E2126"/>
        <rFont val="WenQuanYi Zen Hei"/>
        <family val="2"/>
      </rPr>
      <t xml:space="preserve">枚に</t>
    </r>
  </si>
  <si>
    <t xml:space="preserve">振り返り　なぜすぐ交換しなかった？</t>
  </si>
  <si>
    <t xml:space="preserve">振り返り　本当の困りごとは？</t>
  </si>
  <si>
    <t xml:space="preserve">振り返り　実機デモで何を？</t>
  </si>
  <si>
    <t xml:space="preserve">最後のメッセージ</t>
  </si>
  <si>
    <t xml:space="preserve">残す（改訂）</t>
  </si>
  <si>
    <t xml:space="preserve">S42</t>
  </si>
  <si>
    <t xml:space="preserve">指示書のメッセージに改訂</t>
  </si>
  <si>
    <t xml:space="preserve">比較デモ　通常搬送</t>
  </si>
  <si>
    <r>
      <rPr>
        <sz val="10"/>
        <color rgb="FF1E2126"/>
        <rFont val="WenQuanYi Zen Hei"/>
        <family val="2"/>
      </rPr>
      <t xml:space="preserve">補足</t>
    </r>
    <r>
      <rPr>
        <sz val="10"/>
        <color rgb="FF1E2126"/>
        <rFont val="Meiryo UI"/>
        <family val="0"/>
        <charset val="1"/>
      </rPr>
      <t xml:space="preserve">X04</t>
    </r>
  </si>
  <si>
    <r>
      <rPr>
        <sz val="10"/>
        <color rgb="FF1E2126"/>
        <rFont val="WenQuanYi Zen Hei"/>
        <family val="2"/>
      </rPr>
      <t xml:space="preserve">本編では条件名だけ（</t>
    </r>
    <r>
      <rPr>
        <sz val="10"/>
        <color rgb="FF1E2126"/>
        <rFont val="Meiryo UI"/>
        <family val="0"/>
        <charset val="1"/>
      </rPr>
      <t xml:space="preserve">S34</t>
    </r>
    <r>
      <rPr>
        <sz val="10"/>
        <color rgb="FF1E2126"/>
        <rFont val="WenQuanYi Zen Hei"/>
        <family val="2"/>
      </rPr>
      <t xml:space="preserve">）</t>
    </r>
  </si>
  <si>
    <t xml:space="preserve">比較デモ　ボトルの揺れ</t>
  </si>
  <si>
    <t xml:space="preserve">比較デモ　間隔の変化</t>
  </si>
  <si>
    <t xml:space="preserve">移動（要修正）</t>
  </si>
  <si>
    <t xml:space="preserve">ボトル同士が重なって描かれており、実際には起きない。描き直しが必要</t>
  </si>
  <si>
    <t xml:space="preserve">比較デモ　検出高さ</t>
  </si>
  <si>
    <t xml:space="preserve">エンディング（ロゴ）</t>
  </si>
  <si>
    <t xml:space="preserve">S45</t>
  </si>
  <si>
    <t xml:space="preserve">アンケートと次のステップの案内を足す</t>
  </si>
  <si>
    <t xml:space="preserve">判断ごとの枚数</t>
  </si>
  <si>
    <t xml:space="preserve">合計</t>
  </si>
  <si>
    <t xml:space="preserve">新しく追加したスライド</t>
  </si>
  <si>
    <t xml:space="preserve">ねらい</t>
  </si>
  <si>
    <t xml:space="preserve">S02</t>
  </si>
  <si>
    <t xml:space="preserve">事前チェック</t>
  </si>
  <si>
    <t xml:space="preserve">前後比較のため</t>
  </si>
  <si>
    <r>
      <rPr>
        <sz val="10"/>
        <rFont val="Meiryo UI"/>
        <family val="0"/>
        <charset val="1"/>
      </rPr>
      <t xml:space="preserve">S05</t>
    </r>
    <r>
      <rPr>
        <sz val="10"/>
        <rFont val="WenQuanYi Zen Hei"/>
        <family val="2"/>
      </rPr>
      <t xml:space="preserve">・</t>
    </r>
    <r>
      <rPr>
        <sz val="10"/>
        <rFont val="Meiryo UI"/>
        <family val="0"/>
        <charset val="1"/>
      </rPr>
      <t xml:space="preserve">S13</t>
    </r>
    <r>
      <rPr>
        <sz val="10"/>
        <rFont val="WenQuanYi Zen Hei"/>
        <family val="2"/>
      </rPr>
      <t xml:space="preserve">・</t>
    </r>
    <r>
      <rPr>
        <sz val="10"/>
        <rFont val="Meiryo UI"/>
        <family val="0"/>
        <charset val="1"/>
      </rPr>
      <t xml:space="preserve">S24</t>
    </r>
    <r>
      <rPr>
        <sz val="10"/>
        <rFont val="WenQuanYi Zen Hei"/>
        <family val="2"/>
      </rPr>
      <t xml:space="preserve">・</t>
    </r>
    <r>
      <rPr>
        <sz val="10"/>
        <rFont val="Meiryo UI"/>
        <family val="0"/>
        <charset val="1"/>
      </rPr>
      <t xml:space="preserve">S31</t>
    </r>
    <r>
      <rPr>
        <sz val="10"/>
        <rFont val="WenQuanYi Zen Hei"/>
        <family val="2"/>
      </rPr>
      <t xml:space="preserve">・</t>
    </r>
    <r>
      <rPr>
        <sz val="10"/>
        <rFont val="Meiryo UI"/>
        <family val="0"/>
        <charset val="1"/>
      </rPr>
      <t xml:space="preserve">S39</t>
    </r>
  </si>
  <si>
    <t xml:space="preserve">フェーズの扉</t>
  </si>
  <si>
    <t xml:space="preserve">切り替わりを明確に</t>
  </si>
  <si>
    <t xml:space="preserve">S12</t>
  </si>
  <si>
    <r>
      <rPr>
        <sz val="10"/>
        <rFont val="Meiryo UI"/>
        <family val="0"/>
        <charset val="1"/>
      </rPr>
      <t xml:space="preserve">HEARING</t>
    </r>
    <r>
      <rPr>
        <sz val="10"/>
        <rFont val="WenQuanYi Zen Hei"/>
        <family val="2"/>
      </rPr>
      <t xml:space="preserve">で分かったこと</t>
    </r>
  </si>
  <si>
    <t xml:space="preserve">事実の整理</t>
  </si>
  <si>
    <t xml:space="preserve">S15</t>
  </si>
  <si>
    <t xml:space="preserve">本数を数えるしくみ</t>
  </si>
  <si>
    <r>
      <rPr>
        <sz val="10"/>
        <rFont val="Meiryo UI"/>
        <family val="0"/>
        <charset val="1"/>
      </rPr>
      <t xml:space="preserve">PLC</t>
    </r>
    <r>
      <rPr>
        <sz val="10"/>
        <rFont val="WenQuanYi Zen Hei"/>
        <family val="2"/>
      </rPr>
      <t xml:space="preserve">・センサ出力・誤カウントを身近な言葉で</t>
    </r>
  </si>
  <si>
    <r>
      <rPr>
        <sz val="10"/>
        <rFont val="Meiryo UI"/>
        <family val="0"/>
        <charset val="1"/>
      </rPr>
      <t xml:space="preserve">S22</t>
    </r>
    <r>
      <rPr>
        <sz val="10"/>
        <rFont val="WenQuanYi Zen Hei"/>
        <family val="2"/>
      </rPr>
      <t xml:space="preserve">・</t>
    </r>
    <r>
      <rPr>
        <sz val="10"/>
        <rFont val="Meiryo UI"/>
        <family val="0"/>
        <charset val="1"/>
      </rPr>
      <t xml:space="preserve">S23</t>
    </r>
  </si>
  <si>
    <t xml:space="preserve">営業の思考の核（ワーク）</t>
  </si>
  <si>
    <t xml:space="preserve">「原因を決めつけずに調べるには？」</t>
  </si>
  <si>
    <r>
      <rPr>
        <sz val="10"/>
        <rFont val="Meiryo UI"/>
        <family val="0"/>
        <charset val="1"/>
      </rPr>
      <t xml:space="preserve">S35</t>
    </r>
    <r>
      <rPr>
        <sz val="10"/>
        <rFont val="WenQuanYi Zen Hei"/>
        <family val="2"/>
      </rPr>
      <t xml:space="preserve">・</t>
    </r>
    <r>
      <rPr>
        <sz val="10"/>
        <rFont val="Meiryo UI"/>
        <family val="0"/>
        <charset val="1"/>
      </rPr>
      <t xml:space="preserve">S36</t>
    </r>
  </si>
  <si>
    <t xml:space="preserve">模擬提案ワーク・提案タイム</t>
  </si>
  <si>
    <t xml:space="preserve">自分の言葉で提案する</t>
  </si>
  <si>
    <t xml:space="preserve">S41</t>
  </si>
  <si>
    <r>
      <rPr>
        <sz val="10"/>
        <rFont val="WenQuanYi Zen Hei"/>
        <family val="2"/>
      </rPr>
      <t xml:space="preserve">ふりかえりの問い</t>
    </r>
    <r>
      <rPr>
        <sz val="10"/>
        <rFont val="Meiryo UI"/>
        <family val="0"/>
        <charset val="1"/>
      </rPr>
      <t xml:space="preserve">4</t>
    </r>
    <r>
      <rPr>
        <sz val="10"/>
        <rFont val="WenQuanYi Zen Hei"/>
        <family val="2"/>
      </rPr>
      <t xml:space="preserve">つ</t>
    </r>
  </si>
  <si>
    <t xml:space="preserve">気づきの言語化</t>
  </si>
  <si>
    <t xml:space="preserve">S43</t>
  </si>
  <si>
    <t xml:space="preserve">営業の魅力</t>
  </si>
  <si>
    <t xml:space="preserve">採用への接続</t>
  </si>
  <si>
    <t xml:space="preserve">S44</t>
  </si>
  <si>
    <t xml:space="preserve">若手営業社員（差し替え領域）</t>
  </si>
  <si>
    <t xml:space="preserve">実例を入れる枠</t>
  </si>
  <si>
    <t xml:space="preserve">アンケートと次のステップ</t>
  </si>
  <si>
    <t xml:space="preserve">成果測定と採用接続</t>
  </si>
  <si>
    <t xml:space="preserve">成果物④　講師用進行台本</t>
  </si>
  <si>
    <t xml:space="preserve">開始・終了は「所要（分）」から自動計算。所要を変えると全体の時間が更新される。黄色＝当日の担当メモ</t>
  </si>
  <si>
    <t xml:space="preserve">薄い赤の行＝学生が手を動かす場面</t>
  </si>
  <si>
    <t xml:space="preserve">No</t>
  </si>
  <si>
    <t xml:space="preserve">フェーズ</t>
  </si>
  <si>
    <t xml:space="preserve">開始</t>
  </si>
  <si>
    <t xml:space="preserve">所要（分）</t>
  </si>
  <si>
    <t xml:space="preserve">終了</t>
  </si>
  <si>
    <t xml:space="preserve">進め方</t>
  </si>
  <si>
    <t xml:space="preserve">画面に表示する内容</t>
  </si>
  <si>
    <t xml:space="preserve">講師の説明・発話</t>
  </si>
  <si>
    <t xml:space="preserve">学生への問いかけ</t>
  </si>
  <si>
    <t xml:space="preserve">想定される学生の回答</t>
  </si>
  <si>
    <t xml:space="preserve">回答へのフィードバック</t>
  </si>
  <si>
    <t xml:space="preserve">答えが出ないときのヒント</t>
  </si>
  <si>
    <t xml:space="preserve">使用する画像・動画</t>
  </si>
  <si>
    <t xml:space="preserve">次へのつなぎ</t>
  </si>
  <si>
    <t xml:space="preserve">時間超過時の調整</t>
  </si>
  <si>
    <t xml:space="preserve">当日メモ</t>
  </si>
  <si>
    <t xml:space="preserve">S01</t>
  </si>
  <si>
    <t xml:space="preserve">MISSION</t>
  </si>
  <si>
    <t xml:space="preserve">講師</t>
  </si>
  <si>
    <r>
      <rPr>
        <sz val="10"/>
        <color rgb="FF1E2126"/>
        <rFont val="WenQuanYi Zen Hei"/>
        <family val="2"/>
      </rPr>
      <t xml:space="preserve">タイトル「</t>
    </r>
    <r>
      <rPr>
        <sz val="10"/>
        <color rgb="FF1E2126"/>
        <rFont val="Meiryo UI"/>
        <family val="0"/>
        <charset val="1"/>
      </rPr>
      <t xml:space="preserve">YOUR MISSION</t>
    </r>
    <r>
      <rPr>
        <sz val="10"/>
        <color rgb="FF1E2126"/>
        <rFont val="WenQuanYi Zen Hei"/>
        <family val="2"/>
      </rPr>
      <t xml:space="preserve">　ペットボトルの誤カウントを解決せよ。」</t>
    </r>
  </si>
  <si>
    <r>
      <rPr>
        <sz val="10"/>
        <color rgb="FF1E2126"/>
        <rFont val="WenQuanYi Zen Hei"/>
        <family val="2"/>
      </rPr>
      <t xml:space="preserve">これから</t>
    </r>
    <r>
      <rPr>
        <sz val="10"/>
        <color rgb="FF1E2126"/>
        <rFont val="Meiryo UI"/>
        <family val="0"/>
        <charset val="1"/>
      </rPr>
      <t xml:space="preserve">60</t>
    </r>
    <r>
      <rPr>
        <sz val="10"/>
        <color rgb="FF1E2126"/>
        <rFont val="WenQuanYi Zen Hei"/>
        <family val="2"/>
      </rPr>
      <t xml:space="preserve">分、皆さんには</t>
    </r>
    <r>
      <rPr>
        <sz val="10"/>
        <color rgb="FF1E2126"/>
        <rFont val="Meiryo UI"/>
        <family val="0"/>
        <charset val="1"/>
      </rPr>
      <t xml:space="preserve">OPTEX-FA</t>
    </r>
    <r>
      <rPr>
        <sz val="10"/>
        <color rgb="FF1E2126"/>
        <rFont val="WenQuanYi Zen Hei"/>
        <family val="2"/>
      </rPr>
      <t xml:space="preserve">の営業担当になってもらいます。センサの知識はいりません。必要なのは、お客様の話を聞いて、考えることだけです。</t>
    </r>
  </si>
  <si>
    <r>
      <rPr>
        <sz val="10"/>
        <color rgb="FF1E2126"/>
        <rFont val="Meiryo UI"/>
        <family val="0"/>
        <charset val="1"/>
      </rPr>
      <t xml:space="preserve">IMAGE_PLACEHOLDER_01</t>
    </r>
    <r>
      <rPr>
        <sz val="10"/>
        <color rgb="FF1E2126"/>
        <rFont val="WenQuanYi Zen Hei"/>
        <family val="2"/>
      </rPr>
      <t xml:space="preserve">（</t>
    </r>
    <r>
      <rPr>
        <sz val="10"/>
        <color rgb="FF1E2126"/>
        <rFont val="Meiryo UI"/>
        <family val="0"/>
        <charset val="1"/>
      </rPr>
      <t xml:space="preserve">PET</t>
    </r>
    <r>
      <rPr>
        <sz val="10"/>
        <color rgb="FF1E2126"/>
        <rFont val="WenQuanYi Zen Hei"/>
        <family val="2"/>
      </rPr>
      <t xml:space="preserve">ボトル搬送ライン）</t>
    </r>
  </si>
  <si>
    <t xml:space="preserve">始める前に、今の気持ちを教えてください。</t>
  </si>
  <si>
    <t xml:space="preserve">省略不可</t>
  </si>
  <si>
    <r>
      <rPr>
        <sz val="10"/>
        <color rgb="FF1E2126"/>
        <rFont val="WenQuanYi Zen Hei"/>
        <family val="2"/>
      </rPr>
      <t xml:space="preserve">既存</t>
    </r>
    <r>
      <rPr>
        <sz val="10"/>
        <color rgb="FF1E2126"/>
        <rFont val="Meiryo UI"/>
        <family val="0"/>
        <charset val="1"/>
      </rPr>
      <t xml:space="preserve">1</t>
    </r>
  </si>
  <si>
    <t xml:space="preserve">個人</t>
  </si>
  <si>
    <r>
      <rPr>
        <sz val="10"/>
        <color rgb="FF1E2126"/>
        <rFont val="WenQuanYi Zen Hei"/>
        <family val="2"/>
      </rPr>
      <t xml:space="preserve">事前チェック</t>
    </r>
    <r>
      <rPr>
        <sz val="10"/>
        <color rgb="FF1E2126"/>
        <rFont val="Meiryo UI"/>
        <family val="0"/>
        <charset val="1"/>
      </rPr>
      <t xml:space="preserve">2</t>
    </r>
    <r>
      <rPr>
        <sz val="10"/>
        <color rgb="FF1E2126"/>
        <rFont val="WenQuanYi Zen Hei"/>
        <family val="2"/>
      </rPr>
      <t xml:space="preserve">問と</t>
    </r>
    <r>
      <rPr>
        <sz val="10"/>
        <color rgb="FF1E2126"/>
        <rFont val="Meiryo UI"/>
        <family val="0"/>
        <charset val="1"/>
      </rPr>
      <t xml:space="preserve">QR</t>
    </r>
    <r>
      <rPr>
        <sz val="10"/>
        <color rgb="FF1E2126"/>
        <rFont val="WenQuanYi Zen Hei"/>
        <family val="2"/>
      </rPr>
      <t xml:space="preserve">コード</t>
    </r>
  </si>
  <si>
    <t xml:space="preserve">正解はありません。今の正直な気持ちを答えてください。最後にもう一度聞いて、変化を見ます。</t>
  </si>
  <si>
    <t xml:space="preserve">営業の仕事に、どれくらい興味がありますか？／営業とはどんな仕事だと思いますか？</t>
  </si>
  <si>
    <t xml:space="preserve">「商品を売る仕事」「ノルマがきつそう」「話がうまい人の仕事」</t>
  </si>
  <si>
    <t xml:space="preserve">答えにはコメントしない。「最後にもう一度聞きます」とだけ伝える。</t>
  </si>
  <si>
    <r>
      <rPr>
        <sz val="10"/>
        <color rgb="FF1E2126"/>
        <rFont val="Meiryo UI"/>
        <family val="0"/>
        <charset val="1"/>
      </rPr>
      <t xml:space="preserve">IMAGE_PLACEHOLDER_09</t>
    </r>
    <r>
      <rPr>
        <sz val="10"/>
        <color rgb="FF1E2126"/>
        <rFont val="WenQuanYi Zen Hei"/>
        <family val="2"/>
      </rPr>
      <t xml:space="preserve">（事前チェックの</t>
    </r>
    <r>
      <rPr>
        <sz val="10"/>
        <color rgb="FF1E2126"/>
        <rFont val="Meiryo UI"/>
        <family val="0"/>
        <charset val="1"/>
      </rPr>
      <t xml:space="preserve">QR</t>
    </r>
    <r>
      <rPr>
        <sz val="10"/>
        <color rgb="FF1E2126"/>
        <rFont val="WenQuanYi Zen Hei"/>
        <family val="2"/>
      </rPr>
      <t xml:space="preserve">コード）</t>
    </r>
  </si>
  <si>
    <t xml:space="preserve">では、今日のミッションを説明します。</t>
  </si>
  <si>
    <t xml:space="preserve">時間がなければ紙で回収。省略すると前後比較ができなくなるため、原則実施</t>
  </si>
  <si>
    <t xml:space="preserve">新規</t>
  </si>
  <si>
    <t xml:space="preserve">S03</t>
  </si>
  <si>
    <r>
      <rPr>
        <sz val="10"/>
        <color rgb="FF1E2126"/>
        <rFont val="Meiryo UI"/>
        <family val="0"/>
        <charset val="1"/>
      </rPr>
      <t xml:space="preserve">6</t>
    </r>
    <r>
      <rPr>
        <sz val="10"/>
        <color rgb="FF1E2126"/>
        <rFont val="WenQuanYi Zen Hei"/>
        <family val="2"/>
      </rPr>
      <t xml:space="preserve">つのフェーズと、学生がすること（受け取る→選ぶ→考える→発見する→提案する→言葉にする）</t>
    </r>
  </si>
  <si>
    <r>
      <rPr>
        <sz val="10"/>
        <color rgb="FF1E2126"/>
        <rFont val="WenQuanYi Zen Hei"/>
        <family val="2"/>
      </rPr>
      <t xml:space="preserve">今日は</t>
    </r>
    <r>
      <rPr>
        <sz val="10"/>
        <color rgb="FF1E2126"/>
        <rFont val="Meiryo UI"/>
        <family val="0"/>
        <charset val="1"/>
      </rPr>
      <t xml:space="preserve">6</t>
    </r>
    <r>
      <rPr>
        <sz val="10"/>
        <color rgb="FF1E2126"/>
        <rFont val="WenQuanYi Zen Hei"/>
        <family val="2"/>
      </rPr>
      <t xml:space="preserve">つの段階で進みます。最初は選ぶだけ。だんだん自分で考える場面が増えて、最後は自分の言葉でお客様に提案してもらいます。</t>
    </r>
  </si>
  <si>
    <t xml:space="preserve">さっそく、お客様から相談が届きました。</t>
  </si>
  <si>
    <r>
      <rPr>
        <sz val="10"/>
        <color rgb="FF1E2126"/>
        <rFont val="Meiryo UI"/>
        <family val="0"/>
        <charset val="1"/>
      </rPr>
      <t xml:space="preserve">30</t>
    </r>
    <r>
      <rPr>
        <sz val="10"/>
        <color rgb="FF1E2126"/>
        <rFont val="WenQuanYi Zen Hei"/>
        <family val="2"/>
      </rPr>
      <t xml:space="preserve">秒に短縮可（ルールだけ読む）</t>
    </r>
  </si>
  <si>
    <r>
      <rPr>
        <sz val="10"/>
        <color rgb="FF1E2126"/>
        <rFont val="WenQuanYi Zen Hei"/>
        <family val="2"/>
      </rPr>
      <t xml:space="preserve">既存</t>
    </r>
    <r>
      <rPr>
        <sz val="10"/>
        <color rgb="FF1E2126"/>
        <rFont val="Meiryo UI"/>
        <family val="0"/>
        <charset val="1"/>
      </rPr>
      <t xml:space="preserve">1</t>
    </r>
    <r>
      <rPr>
        <sz val="10"/>
        <color rgb="FF1E2126"/>
        <rFont val="WenQuanYi Zen Hei"/>
        <family val="2"/>
      </rPr>
      <t xml:space="preserve">＋新規</t>
    </r>
  </si>
  <si>
    <t xml:space="preserve">動画</t>
  </si>
  <si>
    <r>
      <rPr>
        <sz val="10"/>
        <color rgb="FF1E2126"/>
        <rFont val="WenQuanYi Zen Hei"/>
        <family val="2"/>
      </rPr>
      <t xml:space="preserve">映像①（</t>
    </r>
    <r>
      <rPr>
        <sz val="10"/>
        <color rgb="FF1E2126"/>
        <rFont val="Meiryo UI"/>
        <family val="0"/>
        <charset val="1"/>
      </rPr>
      <t xml:space="preserve">60</t>
    </r>
    <r>
      <rPr>
        <sz val="10"/>
        <color rgb="FF1E2126"/>
        <rFont val="WenQuanYi Zen Hei"/>
        <family val="2"/>
      </rPr>
      <t xml:space="preserve">秒以内）→ 佐藤さんの相談 → 問い</t>
    </r>
  </si>
  <si>
    <t xml:space="preserve">（映像のあと）飲料工場の設備課、佐藤さんからの相談です。ボトルの本数を数える仕組みが、ときどき実際より多く数えてしまうそうです。</t>
  </si>
  <si>
    <r>
      <rPr>
        <sz val="10"/>
        <color rgb="FF1E2126"/>
        <rFont val="WenQuanYi Zen Hei"/>
        <family val="2"/>
      </rPr>
      <t xml:space="preserve">あなたなら、まず何が気になりますか？（近くの人と</t>
    </r>
    <r>
      <rPr>
        <sz val="10"/>
        <color rgb="FF1E2126"/>
        <rFont val="Meiryo UI"/>
        <family val="0"/>
        <charset val="1"/>
      </rPr>
      <t xml:space="preserve">10</t>
    </r>
    <r>
      <rPr>
        <sz val="10"/>
        <color rgb="FF1E2126"/>
        <rFont val="WenQuanYi Zen Hei"/>
        <family val="2"/>
      </rPr>
      <t xml:space="preserve">秒）</t>
    </r>
  </si>
  <si>
    <t xml:space="preserve">「どれくらい多いの？」「機械が壊れている？」「いつから？」</t>
  </si>
  <si>
    <t xml:space="preserve">「いい疑問です。その疑問を、お客様への質問に変えていきましょう」と次につなぐ。</t>
  </si>
  <si>
    <t xml:space="preserve">「自分が工場の人だったら、何に困るか」を想像してみましょう。</t>
  </si>
  <si>
    <r>
      <rPr>
        <sz val="10"/>
        <color rgb="FF1E2126"/>
        <rFont val="Meiryo UI"/>
        <family val="0"/>
        <charset val="1"/>
      </rPr>
      <t xml:space="preserve">VIDEO_PLACEHOLDER_01</t>
    </r>
    <r>
      <rPr>
        <sz val="10"/>
        <color rgb="FF1E2126"/>
        <rFont val="WenQuanYi Zen Hei"/>
        <family val="2"/>
      </rPr>
      <t xml:space="preserve">（映像①　課題発生）</t>
    </r>
  </si>
  <si>
    <r>
      <rPr>
        <sz val="10"/>
        <color rgb="FF1E2126"/>
        <rFont val="WenQuanYi Zen Hei"/>
        <family val="2"/>
      </rPr>
      <t xml:space="preserve">ここから</t>
    </r>
    <r>
      <rPr>
        <sz val="10"/>
        <color rgb="FF1E2126"/>
        <rFont val="Meiryo UI"/>
        <family val="0"/>
        <charset val="1"/>
      </rPr>
      <t xml:space="preserve">HEARING</t>
    </r>
    <r>
      <rPr>
        <sz val="10"/>
        <color rgb="FF1E2126"/>
        <rFont val="WenQuanYi Zen Hei"/>
        <family val="2"/>
      </rPr>
      <t xml:space="preserve">。お客様に質問していきます。</t>
    </r>
  </si>
  <si>
    <r>
      <rPr>
        <sz val="10"/>
        <color rgb="FF1E2126"/>
        <rFont val="WenQuanYi Zen Hei"/>
        <family val="2"/>
      </rPr>
      <t xml:space="preserve">映像を</t>
    </r>
    <r>
      <rPr>
        <sz val="10"/>
        <color rgb="FF1E2126"/>
        <rFont val="Meiryo UI"/>
        <family val="0"/>
        <charset val="1"/>
      </rPr>
      <t xml:space="preserve">60</t>
    </r>
    <r>
      <rPr>
        <sz val="10"/>
        <color rgb="FF1E2126"/>
        <rFont val="WenQuanYi Zen Hei"/>
        <family val="2"/>
      </rPr>
      <t xml:space="preserve">秒以内に収める。既存の導入動画（</t>
    </r>
    <r>
      <rPr>
        <sz val="10"/>
        <color rgb="FF1E2126"/>
        <rFont val="Meiryo UI"/>
        <family val="0"/>
        <charset val="1"/>
      </rPr>
      <t xml:space="preserve">3</t>
    </r>
    <r>
      <rPr>
        <sz val="10"/>
        <color rgb="FF1E2126"/>
        <rFont val="WenQuanYi Zen Hei"/>
        <family val="2"/>
      </rPr>
      <t xml:space="preserve">分</t>
    </r>
    <r>
      <rPr>
        <sz val="10"/>
        <color rgb="FF1E2126"/>
        <rFont val="Meiryo UI"/>
        <family val="0"/>
        <charset val="1"/>
      </rPr>
      <t xml:space="preserve">58</t>
    </r>
    <r>
      <rPr>
        <sz val="10"/>
        <color rgb="FF1E2126"/>
        <rFont val="WenQuanYi Zen Hei"/>
        <family val="2"/>
      </rPr>
      <t xml:space="preserve">秒）をそのまま流すと時間を超える</t>
    </r>
  </si>
  <si>
    <r>
      <rPr>
        <sz val="10"/>
        <color rgb="FF1E2126"/>
        <rFont val="WenQuanYi Zen Hei"/>
        <family val="2"/>
      </rPr>
      <t xml:space="preserve">既存</t>
    </r>
    <r>
      <rPr>
        <sz val="10"/>
        <color rgb="FF1E2126"/>
        <rFont val="Meiryo UI"/>
        <family val="0"/>
        <charset val="1"/>
      </rPr>
      <t xml:space="preserve">2</t>
    </r>
    <r>
      <rPr>
        <sz val="10"/>
        <color rgb="FF1E2126"/>
        <rFont val="WenQuanYi Zen Hei"/>
        <family val="2"/>
      </rPr>
      <t xml:space="preserve">＋導入動画</t>
    </r>
  </si>
  <si>
    <t xml:space="preserve">S05</t>
  </si>
  <si>
    <t xml:space="preserve">HEARING</t>
  </si>
  <si>
    <t xml:space="preserve">最初は「聞く」です。営業の仕事は、話すことより聞くことから始まります。</t>
  </si>
  <si>
    <t xml:space="preserve">最初の質問を選んでください。</t>
  </si>
  <si>
    <t xml:space="preserve">読み上げずに次へ</t>
  </si>
  <si>
    <t xml:space="preserve">個人→投票</t>
  </si>
  <si>
    <r>
      <rPr>
        <sz val="10"/>
        <color rgb="FF1E2126"/>
        <rFont val="WenQuanYi Zen Hei"/>
        <family val="2"/>
      </rPr>
      <t xml:space="preserve">問いと</t>
    </r>
    <r>
      <rPr>
        <sz val="10"/>
        <color rgb="FF1E2126"/>
        <rFont val="Meiryo UI"/>
        <family val="0"/>
        <charset val="1"/>
      </rPr>
      <t xml:space="preserve">3</t>
    </r>
    <r>
      <rPr>
        <sz val="10"/>
        <color rgb="FF1E2126"/>
        <rFont val="WenQuanYi Zen Hei"/>
        <family val="2"/>
      </rPr>
      <t xml:space="preserve">つの選択肢、考える時間</t>
    </r>
    <r>
      <rPr>
        <sz val="10"/>
        <color rgb="FF1E2126"/>
        <rFont val="Meiryo UI"/>
        <family val="0"/>
        <charset val="1"/>
      </rPr>
      <t xml:space="preserve">30</t>
    </r>
    <r>
      <rPr>
        <sz val="10"/>
        <color rgb="FF1E2126"/>
        <rFont val="WenQuanYi Zen Hei"/>
        <family val="2"/>
      </rPr>
      <t xml:space="preserve">秒</t>
    </r>
  </si>
  <si>
    <r>
      <rPr>
        <sz val="10"/>
        <color rgb="FF1E2126"/>
        <rFont val="Meiryo UI"/>
        <family val="0"/>
        <charset val="1"/>
      </rPr>
      <t xml:space="preserve">30</t>
    </r>
    <r>
      <rPr>
        <sz val="10"/>
        <color rgb="FF1E2126"/>
        <rFont val="WenQuanYi Zen Hei"/>
        <family val="2"/>
      </rPr>
      <t xml:space="preserve">秒考えて、</t>
    </r>
    <r>
      <rPr>
        <sz val="10"/>
        <color rgb="FF1E2126"/>
        <rFont val="Meiryo UI"/>
        <family val="0"/>
        <charset val="1"/>
      </rPr>
      <t xml:space="preserve">1</t>
    </r>
    <r>
      <rPr>
        <sz val="10"/>
        <color rgb="FF1E2126"/>
        <rFont val="WenQuanYi Zen Hei"/>
        <family val="2"/>
      </rPr>
      <t xml:space="preserve">つ選んでください。選んだら、理由をひとことでメモしてください。</t>
    </r>
  </si>
  <si>
    <r>
      <rPr>
        <sz val="10"/>
        <color rgb="FF1E2126"/>
        <rFont val="WenQuanYi Zen Hei"/>
        <family val="2"/>
      </rPr>
      <t xml:space="preserve">なぜ、それを選びましたか？（</t>
    </r>
    <r>
      <rPr>
        <sz val="10"/>
        <color rgb="FF1E2126"/>
        <rFont val="Meiryo UI"/>
        <family val="0"/>
        <charset val="1"/>
      </rPr>
      <t xml:space="preserve">2</t>
    </r>
    <r>
      <rPr>
        <sz val="10"/>
        <color rgb="FF1E2126"/>
        <rFont val="WenQuanYi Zen Hei"/>
        <family val="2"/>
      </rPr>
      <t xml:space="preserve">〜</t>
    </r>
    <r>
      <rPr>
        <sz val="10"/>
        <color rgb="FF1E2126"/>
        <rFont val="Meiryo UI"/>
        <family val="0"/>
        <charset val="1"/>
      </rPr>
      <t xml:space="preserve">3</t>
    </r>
    <r>
      <rPr>
        <sz val="10"/>
        <color rgb="FF1E2126"/>
        <rFont val="WenQuanYi Zen Hei"/>
        <family val="2"/>
      </rPr>
      <t xml:space="preserve">人に理由を聞く）</t>
    </r>
  </si>
  <si>
    <r>
      <rPr>
        <sz val="10"/>
        <color rgb="FF1E2126"/>
        <rFont val="Meiryo UI"/>
        <family val="0"/>
        <charset val="1"/>
      </rPr>
      <t xml:space="preserve">A</t>
    </r>
    <r>
      <rPr>
        <sz val="10"/>
        <color rgb="FF1E2126"/>
        <rFont val="WenQuanYi Zen Hei"/>
        <family val="2"/>
      </rPr>
      <t xml:space="preserve">「どんな機械か分からないと始まらない」／</t>
    </r>
    <r>
      <rPr>
        <sz val="10"/>
        <color rgb="FF1E2126"/>
        <rFont val="Meiryo UI"/>
        <family val="0"/>
        <charset val="1"/>
      </rPr>
      <t xml:space="preserve">B</t>
    </r>
    <r>
      <rPr>
        <sz val="10"/>
        <color rgb="FF1E2126"/>
        <rFont val="WenQuanYi Zen Hei"/>
        <family val="2"/>
      </rPr>
      <t xml:space="preserve">「どれくらい困っているか知りたい」／</t>
    </r>
    <r>
      <rPr>
        <sz val="10"/>
        <color rgb="FF1E2126"/>
        <rFont val="Meiryo UI"/>
        <family val="0"/>
        <charset val="1"/>
      </rPr>
      <t xml:space="preserve">C</t>
    </r>
    <r>
      <rPr>
        <sz val="10"/>
        <color rgb="FF1E2126"/>
        <rFont val="WenQuanYi Zen Hei"/>
        <family val="2"/>
      </rPr>
      <t xml:space="preserve">「新しくすれば直りそう」</t>
    </r>
  </si>
  <si>
    <r>
      <rPr>
        <sz val="10"/>
        <color rgb="FF1E2126"/>
        <rFont val="WenQuanYi Zen Hei"/>
        <family val="2"/>
      </rPr>
      <t xml:space="preserve">どれを選んでも理由を認める。</t>
    </r>
    <r>
      <rPr>
        <sz val="10"/>
        <color rgb="FF1E2126"/>
        <rFont val="Meiryo UI"/>
        <family val="0"/>
        <charset val="1"/>
      </rPr>
      <t xml:space="preserve">C</t>
    </r>
    <r>
      <rPr>
        <sz val="10"/>
        <color rgb="FF1E2126"/>
        <rFont val="WenQuanYi Zen Hei"/>
        <family val="2"/>
      </rPr>
      <t xml:space="preserve">の人には「早く解決したい気持ちは営業として大事」と認めてから、次の解説へ。</t>
    </r>
  </si>
  <si>
    <t xml:space="preserve">森さん「専門知識がなくても大丈夫。お客様の困りごとを、もっと具体的にするには？」</t>
  </si>
  <si>
    <t xml:space="preserve">それぞれ聞いてみると、お客様はこう答えました。</t>
  </si>
  <si>
    <r>
      <rPr>
        <sz val="10"/>
        <color rgb="FF1E2126"/>
        <rFont val="WenQuanYi Zen Hei"/>
        <family val="2"/>
      </rPr>
      <t xml:space="preserve">理由の聞き取りを</t>
    </r>
    <r>
      <rPr>
        <sz val="10"/>
        <color rgb="FF1E2126"/>
        <rFont val="Meiryo UI"/>
        <family val="0"/>
        <charset val="1"/>
      </rPr>
      <t xml:space="preserve">1</t>
    </r>
    <r>
      <rPr>
        <sz val="10"/>
        <color rgb="FF1E2126"/>
        <rFont val="WenQuanYi Zen Hei"/>
        <family val="2"/>
      </rPr>
      <t xml:space="preserve">人にすれば</t>
    </r>
    <r>
      <rPr>
        <sz val="10"/>
        <color rgb="FF1E2126"/>
        <rFont val="Meiryo UI"/>
        <family val="0"/>
        <charset val="1"/>
      </rPr>
      <t xml:space="preserve">1</t>
    </r>
    <r>
      <rPr>
        <sz val="10"/>
        <color rgb="FF1E2126"/>
        <rFont val="WenQuanYi Zen Hei"/>
        <family val="2"/>
      </rPr>
      <t xml:space="preserve">分に短縮</t>
    </r>
  </si>
  <si>
    <r>
      <rPr>
        <sz val="10"/>
        <color rgb="FF1E2126"/>
        <rFont val="WenQuanYi Zen Hei"/>
        <family val="2"/>
      </rPr>
      <t xml:space="preserve">既存</t>
    </r>
    <r>
      <rPr>
        <sz val="10"/>
        <color rgb="FF1E2126"/>
        <rFont val="Meiryo UI"/>
        <family val="0"/>
        <charset val="1"/>
      </rPr>
      <t xml:space="preserve">3</t>
    </r>
    <r>
      <rPr>
        <sz val="10"/>
        <color rgb="FF1E2126"/>
        <rFont val="WenQuanYi Zen Hei"/>
        <family val="2"/>
      </rPr>
      <t xml:space="preserve">・</t>
    </r>
    <r>
      <rPr>
        <sz val="10"/>
        <color rgb="FF1E2126"/>
        <rFont val="Meiryo UI"/>
        <family val="0"/>
        <charset val="1"/>
      </rPr>
      <t xml:space="preserve">4</t>
    </r>
  </si>
  <si>
    <r>
      <rPr>
        <sz val="10"/>
        <color rgb="FF1E2126"/>
        <rFont val="Meiryo UI"/>
        <family val="0"/>
        <charset val="1"/>
      </rPr>
      <t xml:space="preserve">3</t>
    </r>
    <r>
      <rPr>
        <sz val="10"/>
        <color rgb="FF1E2126"/>
        <rFont val="WenQuanYi Zen Hei"/>
        <family val="2"/>
      </rPr>
      <t xml:space="preserve">つの選択肢それぞれの、お客様の答えと分かったこと。</t>
    </r>
    <r>
      <rPr>
        <sz val="10"/>
        <color rgb="FF1E2126"/>
        <rFont val="Meiryo UI"/>
        <family val="0"/>
        <charset val="1"/>
      </rPr>
      <t xml:space="preserve">B</t>
    </r>
    <r>
      <rPr>
        <sz val="10"/>
        <color rgb="FF1E2126"/>
        <rFont val="WenQuanYi Zen Hei"/>
        <family val="2"/>
      </rPr>
      <t xml:space="preserve">に「おすすめ」</t>
    </r>
  </si>
  <si>
    <r>
      <rPr>
        <sz val="10"/>
        <color rgb="FF1E2126"/>
        <rFont val="Meiryo UI"/>
        <family val="0"/>
        <charset val="1"/>
      </rPr>
      <t xml:space="preserve">B</t>
    </r>
    <r>
      <rPr>
        <sz val="10"/>
        <color rgb="FF1E2126"/>
        <rFont val="WenQuanYi Zen Hei"/>
        <family val="2"/>
      </rPr>
      <t xml:space="preserve">を選ぶと、困りごとの大きさと「流れが乱れたとき」という条件が分かりました。</t>
    </r>
    <r>
      <rPr>
        <sz val="10"/>
        <color rgb="FF1E2126"/>
        <rFont val="Meiryo UI"/>
        <family val="0"/>
        <charset val="1"/>
      </rPr>
      <t xml:space="preserve">A</t>
    </r>
    <r>
      <rPr>
        <sz val="10"/>
        <color rgb="FF1E2126"/>
        <rFont val="WenQuanYi Zen Hei"/>
        <family val="2"/>
      </rPr>
      <t xml:space="preserve">も必要な情報ですが、まだ困りごとの大きさは分かりません。</t>
    </r>
    <r>
      <rPr>
        <sz val="10"/>
        <color rgb="FF1E2126"/>
        <rFont val="Meiryo UI"/>
        <family val="0"/>
        <charset val="1"/>
      </rPr>
      <t xml:space="preserve">C</t>
    </r>
    <r>
      <rPr>
        <sz val="10"/>
        <color rgb="FF1E2126"/>
        <rFont val="WenQuanYi Zen Hei"/>
        <family val="2"/>
      </rPr>
      <t xml:space="preserve">は、お客様が判断できない状態で答えを出してしまっています。</t>
    </r>
  </si>
  <si>
    <t xml:space="preserve">「流れが乱れたとき」という言葉、気になりませんか？</t>
  </si>
  <si>
    <t xml:space="preserve">「揺れているときに間違える？」</t>
  </si>
  <si>
    <t xml:space="preserve">その気づきが原因を探す手がかりになる、と伝える。</t>
  </si>
  <si>
    <t xml:space="preserve">品質管理の高橋さんが、記録を見せてくれました。</t>
  </si>
  <si>
    <t xml:space="preserve">省略不可（判断理由の解説が学習の中心）</t>
  </si>
  <si>
    <r>
      <rPr>
        <sz val="10"/>
        <color rgb="FF1E2126"/>
        <rFont val="WenQuanYi Zen Hei"/>
        <family val="2"/>
      </rPr>
      <t xml:space="preserve">既存</t>
    </r>
    <r>
      <rPr>
        <sz val="10"/>
        <color rgb="FF1E2126"/>
        <rFont val="Meiryo UI"/>
        <family val="0"/>
        <charset val="1"/>
      </rPr>
      <t xml:space="preserve">5</t>
    </r>
    <r>
      <rPr>
        <sz val="10"/>
        <color rgb="FF1E2126"/>
        <rFont val="WenQuanYi Zen Hei"/>
        <family val="2"/>
      </rPr>
      <t xml:space="preserve">・</t>
    </r>
    <r>
      <rPr>
        <sz val="10"/>
        <color rgb="FF1E2126"/>
        <rFont val="Meiryo UI"/>
        <family val="0"/>
        <charset val="1"/>
      </rPr>
      <t xml:space="preserve">6</t>
    </r>
    <r>
      <rPr>
        <sz val="10"/>
        <color rgb="FF1E2126"/>
        <rFont val="WenQuanYi Zen Hei"/>
        <family val="2"/>
      </rPr>
      <t xml:space="preserve">・</t>
    </r>
    <r>
      <rPr>
        <sz val="10"/>
        <color rgb="FF1E2126"/>
        <rFont val="Meiryo UI"/>
        <family val="0"/>
        <charset val="1"/>
      </rPr>
      <t xml:space="preserve">7</t>
    </r>
  </si>
  <si>
    <r>
      <rPr>
        <sz val="10"/>
        <color rgb="FF1E2126"/>
        <rFont val="WenQuanYi Zen Hei"/>
        <family val="2"/>
      </rPr>
      <t xml:space="preserve">週ごとの誤カウント率のグラフと、</t>
    </r>
    <r>
      <rPr>
        <sz val="10"/>
        <color rgb="FF1E2126"/>
        <rFont val="Meiryo UI"/>
        <family val="0"/>
        <charset val="1"/>
      </rPr>
      <t xml:space="preserve">1</t>
    </r>
    <r>
      <rPr>
        <sz val="10"/>
        <color rgb="FF1E2126"/>
        <rFont val="WenQuanYi Zen Hei"/>
        <family val="2"/>
      </rPr>
      <t xml:space="preserve">万本あたりの表示本数（演習用の設定値）</t>
    </r>
  </si>
  <si>
    <r>
      <rPr>
        <sz val="10"/>
        <color rgb="FF1E2126"/>
        <rFont val="Meiryo UI"/>
        <family val="0"/>
        <charset val="1"/>
      </rPr>
      <t xml:space="preserve">1</t>
    </r>
    <r>
      <rPr>
        <sz val="10"/>
        <color rgb="FF1E2126"/>
        <rFont val="WenQuanYi Zen Hei"/>
        <family val="2"/>
      </rPr>
      <t xml:space="preserve">万本通ると、通常は</t>
    </r>
    <r>
      <rPr>
        <sz val="10"/>
        <color rgb="FF1E2126"/>
        <rFont val="Meiryo UI"/>
        <family val="0"/>
        <charset val="1"/>
      </rPr>
      <t xml:space="preserve">50</t>
    </r>
    <r>
      <rPr>
        <sz val="10"/>
        <color rgb="FF1E2126"/>
        <rFont val="WenQuanYi Zen Hei"/>
        <family val="2"/>
      </rPr>
      <t xml:space="preserve">〜</t>
    </r>
    <r>
      <rPr>
        <sz val="10"/>
        <color rgb="FF1E2126"/>
        <rFont val="Meiryo UI"/>
        <family val="0"/>
        <charset val="1"/>
      </rPr>
      <t xml:space="preserve">80</t>
    </r>
    <r>
      <rPr>
        <sz val="10"/>
        <color rgb="FF1E2126"/>
        <rFont val="WenQuanYi Zen Hei"/>
        <family val="2"/>
      </rPr>
      <t xml:space="preserve">本多く数えています。多い週だけ、</t>
    </r>
    <r>
      <rPr>
        <sz val="10"/>
        <color rgb="FF1E2126"/>
        <rFont val="Meiryo UI"/>
        <family val="0"/>
        <charset val="1"/>
      </rPr>
      <t xml:space="preserve">300</t>
    </r>
    <r>
      <rPr>
        <sz val="10"/>
        <color rgb="FF1E2126"/>
        <rFont val="WenQuanYi Zen Hei"/>
        <family val="2"/>
      </rPr>
      <t xml:space="preserve">本ほど多くなりました。毎週ではありません。</t>
    </r>
  </si>
  <si>
    <t xml:space="preserve">毎週同じではない、ということから何が言えそうですか？</t>
  </si>
  <si>
    <t xml:space="preserve">「いつもではなく、何かが起きたときに増える」</t>
  </si>
  <si>
    <t xml:space="preserve">「常に壊れているのではなく、条件で増える」という読み取りを評価する。</t>
  </si>
  <si>
    <t xml:space="preserve">「壊れているなら、毎週同じように増えるはず。では…？」</t>
  </si>
  <si>
    <t xml:space="preserve">ここで、センサがどうやって数えているかを見ておきましょう。</t>
  </si>
  <si>
    <r>
      <rPr>
        <sz val="10"/>
        <color rgb="FF1E2126"/>
        <rFont val="WenQuanYi Zen Hei"/>
        <family val="2"/>
      </rPr>
      <t xml:space="preserve">問いかけを省いて</t>
    </r>
    <r>
      <rPr>
        <sz val="10"/>
        <color rgb="FF1E2126"/>
        <rFont val="Meiryo UI"/>
        <family val="0"/>
        <charset val="1"/>
      </rPr>
      <t xml:space="preserve">30</t>
    </r>
    <r>
      <rPr>
        <sz val="10"/>
        <color rgb="FF1E2126"/>
        <rFont val="WenQuanYi Zen Hei"/>
        <family val="2"/>
      </rPr>
      <t xml:space="preserve">秒に短縮可</t>
    </r>
  </si>
  <si>
    <r>
      <rPr>
        <sz val="10"/>
        <color rgb="FF1E2126"/>
        <rFont val="WenQuanYi Zen Hei"/>
        <family val="2"/>
      </rPr>
      <t xml:space="preserve">既存</t>
    </r>
    <r>
      <rPr>
        <sz val="10"/>
        <color rgb="FF1E2126"/>
        <rFont val="Meiryo UI"/>
        <family val="0"/>
        <charset val="1"/>
      </rPr>
      <t xml:space="preserve">8</t>
    </r>
  </si>
  <si>
    <t xml:space="preserve">S09</t>
  </si>
  <si>
    <r>
      <rPr>
        <sz val="10"/>
        <color rgb="FF1E2126"/>
        <rFont val="Meiryo UI"/>
        <family val="0"/>
        <charset val="1"/>
      </rPr>
      <t xml:space="preserve">3</t>
    </r>
    <r>
      <rPr>
        <sz val="10"/>
        <color rgb="FF1E2126"/>
        <rFont val="WenQuanYi Zen Hei"/>
        <family val="2"/>
      </rPr>
      <t xml:space="preserve">つの用語を身近な例で。右に回帰反射型の図</t>
    </r>
  </si>
  <si>
    <r>
      <rPr>
        <sz val="10"/>
        <color rgb="FF1E2126"/>
        <rFont val="WenQuanYi Zen Hei"/>
        <family val="2"/>
      </rPr>
      <t xml:space="preserve">自転車の後ろについている反射板は、車のライトを来た方向へ送り返しますよね。回帰反射型も同じで、センサの光を反射板が送り返します。ボトルが通ると戻る光が変わるので、「</t>
    </r>
    <r>
      <rPr>
        <sz val="10"/>
        <color rgb="FF1E2126"/>
        <rFont val="Meiryo UI"/>
        <family val="0"/>
        <charset val="1"/>
      </rPr>
      <t xml:space="preserve">1</t>
    </r>
    <r>
      <rPr>
        <sz val="10"/>
        <color rgb="FF1E2126"/>
        <rFont val="WenQuanYi Zen Hei"/>
        <family val="2"/>
      </rPr>
      <t xml:space="preserve">本来た」と分かります。</t>
    </r>
  </si>
  <si>
    <r>
      <rPr>
        <sz val="10"/>
        <color rgb="FF1E2126"/>
        <rFont val="Meiryo UI"/>
        <family val="0"/>
        <charset val="1"/>
      </rPr>
      <t xml:space="preserve">IMAGE_PLACEHOLDER_02</t>
    </r>
    <r>
      <rPr>
        <sz val="10"/>
        <color rgb="FF1E2126"/>
        <rFont val="WenQuanYi Zen Hei"/>
        <family val="2"/>
      </rPr>
      <t xml:space="preserve">（既設の回帰反射型センサ）</t>
    </r>
  </si>
  <si>
    <t xml:space="preserve">次の質問を選んでください。</t>
  </si>
  <si>
    <r>
      <rPr>
        <sz val="10"/>
        <color rgb="FF1E2126"/>
        <rFont val="WenQuanYi Zen Hei"/>
        <family val="2"/>
      </rPr>
      <t xml:space="preserve">時間がないときは「自転車の反射板」の一言だけにして</t>
    </r>
    <r>
      <rPr>
        <sz val="10"/>
        <color rgb="FF1E2126"/>
        <rFont val="Meiryo UI"/>
        <family val="0"/>
        <charset val="1"/>
      </rPr>
      <t xml:space="preserve">30</t>
    </r>
    <r>
      <rPr>
        <sz val="10"/>
        <color rgb="FF1E2126"/>
        <rFont val="WenQuanYi Zen Hei"/>
        <family val="2"/>
      </rPr>
      <t xml:space="preserve">秒</t>
    </r>
  </si>
  <si>
    <r>
      <rPr>
        <sz val="10"/>
        <color rgb="FF1E2126"/>
        <rFont val="WenQuanYi Zen Hei"/>
        <family val="2"/>
      </rPr>
      <t xml:space="preserve">既存</t>
    </r>
    <r>
      <rPr>
        <sz val="10"/>
        <color rgb="FF1E2126"/>
        <rFont val="Meiryo UI"/>
        <family val="0"/>
        <charset val="1"/>
      </rPr>
      <t xml:space="preserve">14</t>
    </r>
    <r>
      <rPr>
        <sz val="10"/>
        <color rgb="FF1E2126"/>
        <rFont val="WenQuanYi Zen Hei"/>
        <family val="2"/>
      </rPr>
      <t xml:space="preserve">（圧縮）</t>
    </r>
  </si>
  <si>
    <t xml:space="preserve">「流れが乱れたときに起こる気がする」という話を思い出して、選んでください。</t>
  </si>
  <si>
    <t xml:space="preserve">選んだ理由は？</t>
  </si>
  <si>
    <r>
      <rPr>
        <sz val="10"/>
        <color rgb="FF1E2126"/>
        <rFont val="Meiryo UI"/>
        <family val="0"/>
        <charset val="1"/>
      </rPr>
      <t xml:space="preserve">A</t>
    </r>
    <r>
      <rPr>
        <sz val="10"/>
        <color rgb="FF1E2126"/>
        <rFont val="WenQuanYi Zen Hei"/>
        <family val="2"/>
      </rPr>
      <t xml:space="preserve">「実際に見ないと分からない」／</t>
    </r>
    <r>
      <rPr>
        <sz val="10"/>
        <color rgb="FF1E2126"/>
        <rFont val="Meiryo UI"/>
        <family val="0"/>
        <charset val="1"/>
      </rPr>
      <t xml:space="preserve">B</t>
    </r>
    <r>
      <rPr>
        <sz val="10"/>
        <color rgb="FF1E2126"/>
        <rFont val="WenQuanYi Zen Hei"/>
        <family val="2"/>
      </rPr>
      <t xml:space="preserve">「予算がないと提案できない」／</t>
    </r>
    <r>
      <rPr>
        <sz val="10"/>
        <color rgb="FF1E2126"/>
        <rFont val="Meiryo UI"/>
        <family val="0"/>
        <charset val="1"/>
      </rPr>
      <t xml:space="preserve">C</t>
    </r>
    <r>
      <rPr>
        <sz val="10"/>
        <color rgb="FF1E2126"/>
        <rFont val="WenQuanYi Zen Hei"/>
        <family val="2"/>
      </rPr>
      <t xml:space="preserve">「古いから壊れているかも」</t>
    </r>
  </si>
  <si>
    <r>
      <rPr>
        <sz val="10"/>
        <color rgb="FF1E2126"/>
        <rFont val="Meiryo UI"/>
        <family val="0"/>
        <charset val="1"/>
      </rPr>
      <t xml:space="preserve">B</t>
    </r>
    <r>
      <rPr>
        <sz val="10"/>
        <color rgb="FF1E2126"/>
        <rFont val="WenQuanYi Zen Hei"/>
        <family val="2"/>
      </rPr>
      <t xml:space="preserve">の人には「予算は大事。ただ、今それを聞くとお客様はどう感じるか」を考えてもらう。</t>
    </r>
  </si>
  <si>
    <t xml:space="preserve">森さん「『流れが乱れたとき』に起きるなら、どこを見れば手がかりがありそうですか？」</t>
  </si>
  <si>
    <t xml:space="preserve">聞いてみると…</t>
  </si>
  <si>
    <r>
      <rPr>
        <sz val="10"/>
        <color rgb="FF1E2126"/>
        <rFont val="WenQuanYi Zen Hei"/>
        <family val="2"/>
      </rPr>
      <t xml:space="preserve">理由の聞き取りを省けば</t>
    </r>
    <r>
      <rPr>
        <sz val="10"/>
        <color rgb="FF1E2126"/>
        <rFont val="Meiryo UI"/>
        <family val="0"/>
        <charset val="1"/>
      </rPr>
      <t xml:space="preserve">1</t>
    </r>
    <r>
      <rPr>
        <sz val="10"/>
        <color rgb="FF1E2126"/>
        <rFont val="WenQuanYi Zen Hei"/>
        <family val="2"/>
      </rPr>
      <t xml:space="preserve">分</t>
    </r>
  </si>
  <si>
    <r>
      <rPr>
        <sz val="10"/>
        <color rgb="FF1E2126"/>
        <rFont val="WenQuanYi Zen Hei"/>
        <family val="2"/>
      </rPr>
      <t xml:space="preserve">既存</t>
    </r>
    <r>
      <rPr>
        <sz val="10"/>
        <color rgb="FF1E2126"/>
        <rFont val="Meiryo UI"/>
        <family val="0"/>
        <charset val="1"/>
      </rPr>
      <t xml:space="preserve">9</t>
    </r>
    <r>
      <rPr>
        <sz val="10"/>
        <color rgb="FF1E2126"/>
        <rFont val="WenQuanYi Zen Hei"/>
        <family val="2"/>
      </rPr>
      <t xml:space="preserve">・</t>
    </r>
    <r>
      <rPr>
        <sz val="10"/>
        <color rgb="FF1E2126"/>
        <rFont val="Meiryo UI"/>
        <family val="0"/>
        <charset val="1"/>
      </rPr>
      <t xml:space="preserve">10</t>
    </r>
  </si>
  <si>
    <r>
      <rPr>
        <sz val="10"/>
        <color rgb="FF1E2126"/>
        <rFont val="Meiryo UI"/>
        <family val="0"/>
        <charset val="1"/>
      </rPr>
      <t xml:space="preserve">3</t>
    </r>
    <r>
      <rPr>
        <sz val="10"/>
        <color rgb="FF1E2126"/>
        <rFont val="WenQuanYi Zen Hei"/>
        <family val="2"/>
      </rPr>
      <t xml:space="preserve">つの選択肢それぞれの、お客様の答え。</t>
    </r>
    <r>
      <rPr>
        <sz val="10"/>
        <color rgb="FF1E2126"/>
        <rFont val="Meiryo UI"/>
        <family val="0"/>
        <charset val="1"/>
      </rPr>
      <t xml:space="preserve">A</t>
    </r>
    <r>
      <rPr>
        <sz val="10"/>
        <color rgb="FF1E2126"/>
        <rFont val="WenQuanYi Zen Hei"/>
        <family val="2"/>
      </rPr>
      <t xml:space="preserve">に「おすすめ」</t>
    </r>
  </si>
  <si>
    <r>
      <rPr>
        <sz val="10"/>
        <color rgb="FF1E2126"/>
        <rFont val="WenQuanYi Zen Hei"/>
        <family val="2"/>
      </rPr>
      <t xml:space="preserve">現場を見せてもらうと、センサがボトルの下のほうを横から見ていることが分かりました。</t>
    </r>
    <r>
      <rPr>
        <sz val="10"/>
        <color rgb="FF1E2126"/>
        <rFont val="Meiryo UI"/>
        <family val="0"/>
        <charset val="1"/>
      </rPr>
      <t xml:space="preserve">C</t>
    </r>
    <r>
      <rPr>
        <sz val="10"/>
        <color rgb="FF1E2126"/>
        <rFont val="WenQuanYi Zen Hei"/>
        <family val="2"/>
      </rPr>
      <t xml:space="preserve">の「故障の記録はない」も大事な事実です。壊れているのとは違う理由がありそうです。</t>
    </r>
  </si>
  <si>
    <t xml:space="preserve">ここまでで分かった事実を整理しましょう。</t>
  </si>
  <si>
    <r>
      <rPr>
        <sz val="10"/>
        <color rgb="FF1E2126"/>
        <rFont val="Meiryo UI"/>
        <family val="0"/>
        <charset val="1"/>
      </rPr>
      <t xml:space="preserve">A</t>
    </r>
    <r>
      <rPr>
        <sz val="10"/>
        <color rgb="FF1E2126"/>
        <rFont val="WenQuanYi Zen Hei"/>
        <family val="2"/>
      </rPr>
      <t xml:space="preserve">以外の説明を一言にして</t>
    </r>
    <r>
      <rPr>
        <sz val="10"/>
        <color rgb="FF1E2126"/>
        <rFont val="Meiryo UI"/>
        <family val="0"/>
        <charset val="1"/>
      </rPr>
      <t xml:space="preserve">30</t>
    </r>
    <r>
      <rPr>
        <sz val="10"/>
        <color rgb="FF1E2126"/>
        <rFont val="WenQuanYi Zen Hei"/>
        <family val="2"/>
      </rPr>
      <t xml:space="preserve">秒</t>
    </r>
  </si>
  <si>
    <r>
      <rPr>
        <sz val="10"/>
        <color rgb="FF1E2126"/>
        <rFont val="WenQuanYi Zen Hei"/>
        <family val="2"/>
      </rPr>
      <t xml:space="preserve">既存</t>
    </r>
    <r>
      <rPr>
        <sz val="10"/>
        <color rgb="FF1E2126"/>
        <rFont val="Meiryo UI"/>
        <family val="0"/>
        <charset val="1"/>
      </rPr>
      <t xml:space="preserve">11</t>
    </r>
    <r>
      <rPr>
        <sz val="10"/>
        <color rgb="FF1E2126"/>
        <rFont val="WenQuanYi Zen Hei"/>
        <family val="2"/>
      </rPr>
      <t xml:space="preserve">・</t>
    </r>
    <r>
      <rPr>
        <sz val="10"/>
        <color rgb="FF1E2126"/>
        <rFont val="Meiryo UI"/>
        <family val="0"/>
        <charset val="1"/>
      </rPr>
      <t xml:space="preserve">12</t>
    </r>
    <r>
      <rPr>
        <sz val="10"/>
        <color rgb="FF1E2126"/>
        <rFont val="WenQuanYi Zen Hei"/>
        <family val="2"/>
      </rPr>
      <t xml:space="preserve">・</t>
    </r>
    <r>
      <rPr>
        <sz val="10"/>
        <color rgb="FF1E2126"/>
        <rFont val="Meiryo UI"/>
        <family val="0"/>
        <charset val="1"/>
      </rPr>
      <t xml:space="preserve">13</t>
    </r>
  </si>
  <si>
    <r>
      <rPr>
        <sz val="10"/>
        <color rgb="FF1E2126"/>
        <rFont val="WenQuanYi Zen Hei"/>
        <family val="2"/>
      </rPr>
      <t xml:space="preserve">確認できた事実</t>
    </r>
    <r>
      <rPr>
        <sz val="10"/>
        <color rgb="FF1E2126"/>
        <rFont val="Meiryo UI"/>
        <family val="0"/>
        <charset val="1"/>
      </rPr>
      <t xml:space="preserve">5</t>
    </r>
    <r>
      <rPr>
        <sz val="10"/>
        <color rgb="FF1E2126"/>
        <rFont val="WenQuanYi Zen Hei"/>
        <family val="2"/>
      </rPr>
      <t xml:space="preserve">つと、まだ分からないこと</t>
    </r>
    <r>
      <rPr>
        <sz val="10"/>
        <color rgb="FF1E2126"/>
        <rFont val="Meiryo UI"/>
        <family val="0"/>
        <charset val="1"/>
      </rPr>
      <t xml:space="preserve">1</t>
    </r>
    <r>
      <rPr>
        <sz val="10"/>
        <color rgb="FF1E2126"/>
        <rFont val="WenQuanYi Zen Hei"/>
        <family val="2"/>
      </rPr>
      <t xml:space="preserve">つ</t>
    </r>
  </si>
  <si>
    <r>
      <rPr>
        <sz val="10"/>
        <color rgb="FF1E2126"/>
        <rFont val="WenQuanYi Zen Hei"/>
        <family val="2"/>
      </rPr>
      <t xml:space="preserve">事実が</t>
    </r>
    <r>
      <rPr>
        <sz val="10"/>
        <color rgb="FF1E2126"/>
        <rFont val="Meiryo UI"/>
        <family val="0"/>
        <charset val="1"/>
      </rPr>
      <t xml:space="preserve">5</t>
    </r>
    <r>
      <rPr>
        <sz val="10"/>
        <color rgb="FF1E2126"/>
        <rFont val="WenQuanYi Zen Hei"/>
        <family val="2"/>
      </rPr>
      <t xml:space="preserve">つそろいました。でも、どこで、なぜ数が増えているのかは、まだ分かりません。ここからが「考える」時間です。</t>
    </r>
  </si>
  <si>
    <r>
      <rPr>
        <sz val="10"/>
        <color rgb="FF1E2126"/>
        <rFont val="Meiryo UI"/>
        <family val="0"/>
        <charset val="1"/>
      </rPr>
      <t xml:space="preserve">ANALYSIS</t>
    </r>
    <r>
      <rPr>
        <sz val="10"/>
        <color rgb="FF1E2126"/>
        <rFont val="WenQuanYi Zen Hei"/>
        <family val="2"/>
      </rPr>
      <t xml:space="preserve">に進みます。</t>
    </r>
  </si>
  <si>
    <r>
      <rPr>
        <sz val="10"/>
        <color rgb="FF1E2126"/>
        <rFont val="WenQuanYi Zen Hei"/>
        <family val="2"/>
      </rPr>
      <t xml:space="preserve">読み上げずに見せるだけなら</t>
    </r>
    <r>
      <rPr>
        <sz val="10"/>
        <color rgb="FF1E2126"/>
        <rFont val="Meiryo UI"/>
        <family val="0"/>
        <charset val="1"/>
      </rPr>
      <t xml:space="preserve">30</t>
    </r>
    <r>
      <rPr>
        <sz val="10"/>
        <color rgb="FF1E2126"/>
        <rFont val="WenQuanYi Zen Hei"/>
        <family val="2"/>
      </rPr>
      <t xml:space="preserve">秒</t>
    </r>
  </si>
  <si>
    <r>
      <rPr>
        <sz val="10"/>
        <color rgb="FF1E2126"/>
        <rFont val="WenQuanYi Zen Hei"/>
        <family val="2"/>
      </rPr>
      <t xml:space="preserve">新規（既存</t>
    </r>
    <r>
      <rPr>
        <sz val="10"/>
        <color rgb="FF1E2126"/>
        <rFont val="Meiryo UI"/>
        <family val="0"/>
        <charset val="1"/>
      </rPr>
      <t xml:space="preserve">5</t>
    </r>
    <r>
      <rPr>
        <sz val="10"/>
        <color rgb="FF1E2126"/>
        <rFont val="WenQuanYi Zen Hei"/>
        <family val="2"/>
      </rPr>
      <t xml:space="preserve">〜</t>
    </r>
    <r>
      <rPr>
        <sz val="10"/>
        <color rgb="FF1E2126"/>
        <rFont val="Meiryo UI"/>
        <family val="0"/>
        <charset val="1"/>
      </rPr>
      <t xml:space="preserve">13</t>
    </r>
    <r>
      <rPr>
        <sz val="10"/>
        <color rgb="FF1E2126"/>
        <rFont val="WenQuanYi Zen Hei"/>
        <family val="2"/>
      </rPr>
      <t xml:space="preserve">のまとめ）</t>
    </r>
  </si>
  <si>
    <t xml:space="preserve">S13</t>
  </si>
  <si>
    <t xml:space="preserve">ANALYSIS</t>
  </si>
  <si>
    <t xml:space="preserve">ここからは選択肢を減らします。自分で原因を考えてみてください。</t>
  </si>
  <si>
    <t xml:space="preserve">まず、現場をよく見てみましょう。</t>
  </si>
  <si>
    <t xml:space="preserve">S14</t>
  </si>
  <si>
    <r>
      <rPr>
        <sz val="10"/>
        <color rgb="FF1E2126"/>
        <rFont val="WenQuanYi Zen Hei"/>
        <family val="2"/>
      </rPr>
      <t xml:space="preserve">映像②（</t>
    </r>
    <r>
      <rPr>
        <sz val="10"/>
        <color rgb="FF1E2126"/>
        <rFont val="Meiryo UI"/>
        <family val="0"/>
        <charset val="1"/>
      </rPr>
      <t xml:space="preserve">30</t>
    </r>
    <r>
      <rPr>
        <sz val="10"/>
        <color rgb="FF1E2126"/>
        <rFont val="WenQuanYi Zen Hei"/>
        <family val="2"/>
      </rPr>
      <t xml:space="preserve">秒以内）→ 佐藤さんの一言 → 問い</t>
    </r>
  </si>
  <si>
    <t xml:space="preserve">（映像のあと）佐藤さんが、ボトルが揺れたり、間隔が詰まったりする場所を教えてくれました。</t>
  </si>
  <si>
    <t xml:space="preserve">映像の中で、気になったことは何ですか？</t>
  </si>
  <si>
    <t xml:space="preserve">「ボトルが揺れていた」「くっついていた」「センサが低い位置にある」</t>
  </si>
  <si>
    <t xml:space="preserve">観察した事実をそのまま褒める。「なぜ数が増えるか」の答えはまだ言わない。</t>
  </si>
  <si>
    <t xml:space="preserve">ボトル・センサ・ボトルの間、どこが動いていましたか？</t>
  </si>
  <si>
    <r>
      <rPr>
        <sz val="10"/>
        <color rgb="FF1E2126"/>
        <rFont val="Meiryo UI"/>
        <family val="0"/>
        <charset val="1"/>
      </rPr>
      <t xml:space="preserve">VIDEO_PLACEHOLDER_02</t>
    </r>
    <r>
      <rPr>
        <sz val="10"/>
        <color rgb="FF1E2126"/>
        <rFont val="WenQuanYi Zen Hei"/>
        <family val="2"/>
      </rPr>
      <t xml:space="preserve">（映像②　現場の観察（揺れ・間隔の詰まり））</t>
    </r>
  </si>
  <si>
    <r>
      <rPr>
        <sz val="10"/>
        <color rgb="FF1E2126"/>
        <rFont val="WenQuanYi Zen Hei"/>
        <family val="2"/>
      </rPr>
      <t xml:space="preserve">その前に、本数を数えるしくみを</t>
    </r>
    <r>
      <rPr>
        <sz val="10"/>
        <color rgb="FF1E2126"/>
        <rFont val="Meiryo UI"/>
        <family val="0"/>
        <charset val="1"/>
      </rPr>
      <t xml:space="preserve">30</t>
    </r>
    <r>
      <rPr>
        <sz val="10"/>
        <color rgb="FF1E2126"/>
        <rFont val="WenQuanYi Zen Hei"/>
        <family val="2"/>
      </rPr>
      <t xml:space="preserve">秒で。</t>
    </r>
  </si>
  <si>
    <r>
      <rPr>
        <sz val="10"/>
        <color rgb="FF1E2126"/>
        <rFont val="WenQuanYi Zen Hei"/>
        <family val="2"/>
      </rPr>
      <t xml:space="preserve">問いを省いて映像だけなら</t>
    </r>
    <r>
      <rPr>
        <sz val="10"/>
        <color rgb="FF1E2126"/>
        <rFont val="Meiryo UI"/>
        <family val="0"/>
        <charset val="1"/>
      </rPr>
      <t xml:space="preserve">45</t>
    </r>
    <r>
      <rPr>
        <sz val="10"/>
        <color rgb="FF1E2126"/>
        <rFont val="WenQuanYi Zen Hei"/>
        <family val="2"/>
      </rPr>
      <t xml:space="preserve">秒</t>
    </r>
  </si>
  <si>
    <r>
      <rPr>
        <sz val="10"/>
        <color rgb="FF1E2126"/>
        <rFont val="WenQuanYi Zen Hei"/>
        <family val="2"/>
      </rPr>
      <t xml:space="preserve">既存</t>
    </r>
    <r>
      <rPr>
        <sz val="10"/>
        <color rgb="FF1E2126"/>
        <rFont val="Meiryo UI"/>
        <family val="0"/>
        <charset val="1"/>
      </rPr>
      <t xml:space="preserve">17</t>
    </r>
    <r>
      <rPr>
        <sz val="10"/>
        <color rgb="FF1E2126"/>
        <rFont val="WenQuanYi Zen Hei"/>
        <family val="2"/>
      </rPr>
      <t xml:space="preserve">・</t>
    </r>
    <r>
      <rPr>
        <sz val="10"/>
        <color rgb="FF1E2126"/>
        <rFont val="Meiryo UI"/>
        <family val="0"/>
        <charset val="1"/>
      </rPr>
      <t xml:space="preserve">18</t>
    </r>
  </si>
  <si>
    <r>
      <rPr>
        <sz val="10"/>
        <color rgb="FF1E2126"/>
        <rFont val="WenQuanYi Zen Hei"/>
        <family val="2"/>
      </rPr>
      <t xml:space="preserve">センサ＝合図する係、</t>
    </r>
    <r>
      <rPr>
        <sz val="10"/>
        <color rgb="FF1E2126"/>
        <rFont val="Meiryo UI"/>
        <family val="0"/>
        <charset val="1"/>
      </rPr>
      <t xml:space="preserve">PLC</t>
    </r>
    <r>
      <rPr>
        <sz val="10"/>
        <color rgb="FF1E2126"/>
        <rFont val="WenQuanYi Zen Hei"/>
        <family val="2"/>
      </rPr>
      <t xml:space="preserve">＝数える係。ボトル</t>
    </r>
    <r>
      <rPr>
        <sz val="10"/>
        <color rgb="FF1E2126"/>
        <rFont val="Meiryo UI"/>
        <family val="0"/>
        <charset val="1"/>
      </rPr>
      <t xml:space="preserve">1</t>
    </r>
    <r>
      <rPr>
        <sz val="10"/>
        <color rgb="FF1E2126"/>
        <rFont val="WenQuanYi Zen Hei"/>
        <family val="2"/>
      </rPr>
      <t xml:space="preserve">本→合図</t>
    </r>
    <r>
      <rPr>
        <sz val="10"/>
        <color rgb="FF1E2126"/>
        <rFont val="Meiryo UI"/>
        <family val="0"/>
        <charset val="1"/>
      </rPr>
      <t xml:space="preserve">1</t>
    </r>
    <r>
      <rPr>
        <sz val="10"/>
        <color rgb="FF1E2126"/>
        <rFont val="WenQuanYi Zen Hei"/>
        <family val="2"/>
      </rPr>
      <t xml:space="preserve">回→カウント</t>
    </r>
    <r>
      <rPr>
        <sz val="10"/>
        <color rgb="FF1E2126"/>
        <rFont val="Meiryo UI"/>
        <family val="0"/>
        <charset val="1"/>
      </rPr>
      <t xml:space="preserve">+1</t>
    </r>
    <r>
      <rPr>
        <sz val="10"/>
        <color rgb="FF1E2126"/>
        <rFont val="WenQuanYi Zen Hei"/>
        <family val="2"/>
      </rPr>
      <t xml:space="preserve">の図</t>
    </r>
  </si>
  <si>
    <r>
      <rPr>
        <sz val="10"/>
        <color rgb="FF1E2126"/>
        <rFont val="WenQuanYi Zen Hei"/>
        <family val="2"/>
      </rPr>
      <t xml:space="preserve">センサはボトルが来るたびに「来た！」と合図を出します。</t>
    </r>
    <r>
      <rPr>
        <sz val="10"/>
        <color rgb="FF1E2126"/>
        <rFont val="Meiryo UI"/>
        <family val="0"/>
        <charset val="1"/>
      </rPr>
      <t xml:space="preserve">PLC</t>
    </r>
    <r>
      <rPr>
        <sz val="10"/>
        <color rgb="FF1E2126"/>
        <rFont val="WenQuanYi Zen Hei"/>
        <family val="2"/>
      </rPr>
      <t xml:space="preserve">はその合図の回数を数える装置です。だから、</t>
    </r>
    <r>
      <rPr>
        <sz val="10"/>
        <color rgb="FF1E2126"/>
        <rFont val="Meiryo UI"/>
        <family val="0"/>
        <charset val="1"/>
      </rPr>
      <t xml:space="preserve">1</t>
    </r>
    <r>
      <rPr>
        <sz val="10"/>
        <color rgb="FF1E2126"/>
        <rFont val="WenQuanYi Zen Hei"/>
        <family val="2"/>
      </rPr>
      <t xml:space="preserve">本のボトルで合図が</t>
    </r>
    <r>
      <rPr>
        <sz val="10"/>
        <color rgb="FF1E2126"/>
        <rFont val="Meiryo UI"/>
        <family val="0"/>
        <charset val="1"/>
      </rPr>
      <t xml:space="preserve">2</t>
    </r>
    <r>
      <rPr>
        <sz val="10"/>
        <color rgb="FF1E2126"/>
        <rFont val="WenQuanYi Zen Hei"/>
        <family val="2"/>
      </rPr>
      <t xml:space="preserve">回出ると、</t>
    </r>
    <r>
      <rPr>
        <sz val="10"/>
        <color rgb="FF1E2126"/>
        <rFont val="Meiryo UI"/>
        <family val="0"/>
        <charset val="1"/>
      </rPr>
      <t xml:space="preserve">2</t>
    </r>
    <r>
      <rPr>
        <sz val="10"/>
        <color rgb="FF1E2126"/>
        <rFont val="WenQuanYi Zen Hei"/>
        <family val="2"/>
      </rPr>
      <t xml:space="preserve">本と数えてしまいます。これが「誤カウント」です。</t>
    </r>
  </si>
  <si>
    <r>
      <rPr>
        <sz val="10"/>
        <color rgb="FF1E2126"/>
        <rFont val="WenQuanYi Zen Hei"/>
        <family val="2"/>
      </rPr>
      <t xml:space="preserve">では、</t>
    </r>
    <r>
      <rPr>
        <sz val="10"/>
        <color rgb="FF1E2126"/>
        <rFont val="Meiryo UI"/>
        <family val="0"/>
        <charset val="1"/>
      </rPr>
      <t xml:space="preserve">1</t>
    </r>
    <r>
      <rPr>
        <sz val="10"/>
        <color rgb="FF1E2126"/>
        <rFont val="WenQuanYi Zen Hei"/>
        <family val="2"/>
      </rPr>
      <t xml:space="preserve">本なのに</t>
    </r>
    <r>
      <rPr>
        <sz val="10"/>
        <color rgb="FF1E2126"/>
        <rFont val="Meiryo UI"/>
        <family val="0"/>
        <charset val="1"/>
      </rPr>
      <t xml:space="preserve">2</t>
    </r>
    <r>
      <rPr>
        <sz val="10"/>
        <color rgb="FF1E2126"/>
        <rFont val="WenQuanYi Zen Hei"/>
        <family val="2"/>
      </rPr>
      <t xml:space="preserve">本と数えてしまうのは、どんなときでしょう？</t>
    </r>
  </si>
  <si>
    <t xml:space="preserve">省略不可（以降の理解の土台）</t>
  </si>
  <si>
    <r>
      <rPr>
        <sz val="10"/>
        <color rgb="FF1E2126"/>
        <rFont val="WenQuanYi Zen Hei"/>
        <family val="2"/>
      </rPr>
      <t xml:space="preserve">既存</t>
    </r>
    <r>
      <rPr>
        <sz val="10"/>
        <color rgb="FF1E2126"/>
        <rFont val="Meiryo UI"/>
        <family val="0"/>
        <charset val="1"/>
      </rPr>
      <t xml:space="preserve">19</t>
    </r>
    <r>
      <rPr>
        <sz val="10"/>
        <color rgb="FF1E2126"/>
        <rFont val="WenQuanYi Zen Hei"/>
        <family val="2"/>
      </rPr>
      <t xml:space="preserve">（圧縮）</t>
    </r>
  </si>
  <si>
    <t xml:space="preserve">個人→ペア</t>
  </si>
  <si>
    <t xml:space="preserve">自由記述の問い、時間配分、考える手がかり</t>
  </si>
  <si>
    <t xml:space="preserve">選択肢はありません。思いついたことを、いくつでも書いてください。間違いはありません。</t>
  </si>
  <si>
    <r>
      <rPr>
        <sz val="10"/>
        <color rgb="FF1E2126"/>
        <rFont val="Meiryo UI"/>
        <family val="0"/>
        <charset val="1"/>
      </rPr>
      <t xml:space="preserve">1</t>
    </r>
    <r>
      <rPr>
        <sz val="10"/>
        <color rgb="FF1E2126"/>
        <rFont val="WenQuanYi Zen Hei"/>
        <family val="2"/>
      </rPr>
      <t xml:space="preserve">本のボトルを、</t>
    </r>
    <r>
      <rPr>
        <sz val="10"/>
        <color rgb="FF1E2126"/>
        <rFont val="Meiryo UI"/>
        <family val="0"/>
        <charset val="1"/>
      </rPr>
      <t xml:space="preserve">2</t>
    </r>
    <r>
      <rPr>
        <sz val="10"/>
        <color rgb="FF1E2126"/>
        <rFont val="WenQuanYi Zen Hei"/>
        <family val="2"/>
      </rPr>
      <t xml:space="preserve">本と数えてしまうのはどんなとき？</t>
    </r>
  </si>
  <si>
    <r>
      <rPr>
        <sz val="10"/>
        <color rgb="FF1E2126"/>
        <rFont val="WenQuanYi Zen Hei"/>
        <family val="2"/>
      </rPr>
      <t xml:space="preserve">「ボトルが揺れて</t>
    </r>
    <r>
      <rPr>
        <sz val="10"/>
        <color rgb="FF1E2126"/>
        <rFont val="Meiryo UI"/>
        <family val="0"/>
        <charset val="1"/>
      </rPr>
      <t xml:space="preserve">2</t>
    </r>
    <r>
      <rPr>
        <sz val="10"/>
        <color rgb="FF1E2126"/>
        <rFont val="WenQuanYi Zen Hei"/>
        <family val="2"/>
      </rPr>
      <t xml:space="preserve">回横切った」「</t>
    </r>
    <r>
      <rPr>
        <sz val="10"/>
        <color rgb="FF1E2126"/>
        <rFont val="Meiryo UI"/>
        <family val="0"/>
        <charset val="1"/>
      </rPr>
      <t xml:space="preserve">2</t>
    </r>
    <r>
      <rPr>
        <sz val="10"/>
        <color rgb="FF1E2126"/>
        <rFont val="WenQuanYi Zen Hei"/>
        <family val="2"/>
      </rPr>
      <t xml:space="preserve">本がくっついた」「透明だから光がうまく当たらない」「センサが汚れている」「数える機械の設定」</t>
    </r>
  </si>
  <si>
    <r>
      <rPr>
        <sz val="10"/>
        <color rgb="FF1E2126"/>
        <rFont val="WenQuanYi Zen Hei"/>
        <family val="2"/>
      </rPr>
      <t xml:space="preserve">出た意見を「ボトル」「光とセンサ」「数える装置」の</t>
    </r>
    <r>
      <rPr>
        <sz val="10"/>
        <color rgb="FF1E2126"/>
        <rFont val="Meiryo UI"/>
        <family val="0"/>
        <charset val="1"/>
      </rPr>
      <t xml:space="preserve">3</t>
    </r>
    <r>
      <rPr>
        <sz val="10"/>
        <color rgb="FF1E2126"/>
        <rFont val="WenQuanYi Zen Hei"/>
        <family val="2"/>
      </rPr>
      <t xml:space="preserve">つに分けて板書する。どれも「まだ仮説」と強調する。</t>
    </r>
  </si>
  <si>
    <r>
      <rPr>
        <sz val="10"/>
        <color rgb="FF1E2126"/>
        <rFont val="WenQuanYi Zen Hei"/>
        <family val="2"/>
      </rPr>
      <t xml:space="preserve">中田さん「数が増える場所は</t>
    </r>
    <r>
      <rPr>
        <sz val="10"/>
        <color rgb="FF1E2126"/>
        <rFont val="Meiryo UI"/>
        <family val="0"/>
        <charset val="1"/>
      </rPr>
      <t xml:space="preserve">1</t>
    </r>
    <r>
      <rPr>
        <sz val="10"/>
        <color rgb="FF1E2126"/>
        <rFont val="WenQuanYi Zen Hei"/>
        <family val="2"/>
      </rPr>
      <t xml:space="preserve">つとは限りません。ボトル・センサ・数える装置、どこで起きていそう？」</t>
    </r>
  </si>
  <si>
    <t xml:space="preserve">皆さんの仮説を整理すると、こうなります。</t>
  </si>
  <si>
    <r>
      <rPr>
        <sz val="10"/>
        <color rgb="FF1E2126"/>
        <rFont val="WenQuanYi Zen Hei"/>
        <family val="2"/>
      </rPr>
      <t xml:space="preserve">共有を</t>
    </r>
    <r>
      <rPr>
        <sz val="10"/>
        <color rgb="FF1E2126"/>
        <rFont val="Meiryo UI"/>
        <family val="0"/>
        <charset val="1"/>
      </rPr>
      <t xml:space="preserve">2</t>
    </r>
    <r>
      <rPr>
        <sz val="10"/>
        <color rgb="FF1E2126"/>
        <rFont val="WenQuanYi Zen Hei"/>
        <family val="2"/>
      </rPr>
      <t xml:space="preserve">人だけにすれば</t>
    </r>
    <r>
      <rPr>
        <sz val="10"/>
        <color rgb="FF1E2126"/>
        <rFont val="Meiryo UI"/>
        <family val="0"/>
        <charset val="1"/>
      </rPr>
      <t xml:space="preserve">2</t>
    </r>
    <r>
      <rPr>
        <sz val="10"/>
        <color rgb="FF1E2126"/>
        <rFont val="WenQuanYi Zen Hei"/>
        <family val="2"/>
      </rPr>
      <t xml:space="preserve">分</t>
    </r>
  </si>
  <si>
    <r>
      <rPr>
        <sz val="10"/>
        <color rgb="FF1E2126"/>
        <rFont val="WenQuanYi Zen Hei"/>
        <family val="2"/>
      </rPr>
      <t xml:space="preserve">既存</t>
    </r>
    <r>
      <rPr>
        <sz val="10"/>
        <color rgb="FF1E2126"/>
        <rFont val="Meiryo UI"/>
        <family val="0"/>
        <charset val="1"/>
      </rPr>
      <t xml:space="preserve">15</t>
    </r>
    <r>
      <rPr>
        <sz val="10"/>
        <color rgb="FF1E2126"/>
        <rFont val="WenQuanYi Zen Hei"/>
        <family val="2"/>
      </rPr>
      <t xml:space="preserve">・</t>
    </r>
    <r>
      <rPr>
        <sz val="10"/>
        <color rgb="FF1E2126"/>
        <rFont val="Meiryo UI"/>
        <family val="0"/>
        <charset val="1"/>
      </rPr>
      <t xml:space="preserve">16</t>
    </r>
    <r>
      <rPr>
        <sz val="10"/>
        <color rgb="FF1E2126"/>
        <rFont val="WenQuanYi Zen Hei"/>
        <family val="2"/>
      </rPr>
      <t xml:space="preserve">（</t>
    </r>
    <r>
      <rPr>
        <sz val="10"/>
        <color rgb="FF1E2126"/>
        <rFont val="Meiryo UI"/>
        <family val="0"/>
        <charset val="1"/>
      </rPr>
      <t xml:space="preserve">3</t>
    </r>
    <r>
      <rPr>
        <sz val="10"/>
        <color rgb="FF1E2126"/>
        <rFont val="WenQuanYi Zen Hei"/>
        <family val="2"/>
      </rPr>
      <t xml:space="preserve">択→自由記述）</t>
    </r>
  </si>
  <si>
    <t xml:space="preserve">S17</t>
  </si>
  <si>
    <r>
      <rPr>
        <sz val="10"/>
        <color rgb="FF1E2126"/>
        <rFont val="Meiryo UI"/>
        <family val="0"/>
        <charset val="1"/>
      </rPr>
      <t xml:space="preserve">3</t>
    </r>
    <r>
      <rPr>
        <sz val="10"/>
        <color rgb="FF1E2126"/>
        <rFont val="WenQuanYi Zen Hei"/>
        <family val="2"/>
      </rPr>
      <t xml:space="preserve">つの場所に</t>
    </r>
    <r>
      <rPr>
        <sz val="10"/>
        <color rgb="FF1E2126"/>
        <rFont val="Meiryo UI"/>
        <family val="0"/>
        <charset val="1"/>
      </rPr>
      <t xml:space="preserve">5</t>
    </r>
    <r>
      <rPr>
        <sz val="10"/>
        <color rgb="FF1E2126"/>
        <rFont val="WenQuanYi Zen Hei"/>
        <family val="2"/>
      </rPr>
      <t xml:space="preserve">つの候補。すべて「仮説」と表示</t>
    </r>
  </si>
  <si>
    <r>
      <rPr>
        <sz val="10"/>
        <color rgb="FF1E2126"/>
        <rFont val="WenQuanYi Zen Hei"/>
        <family val="2"/>
      </rPr>
      <t xml:space="preserve">皆さんの意見を整理すると、</t>
    </r>
    <r>
      <rPr>
        <sz val="10"/>
        <color rgb="FF1E2126"/>
        <rFont val="Meiryo UI"/>
        <family val="0"/>
        <charset val="1"/>
      </rPr>
      <t xml:space="preserve">5</t>
    </r>
    <r>
      <rPr>
        <sz val="10"/>
        <color rgb="FF1E2126"/>
        <rFont val="WenQuanYi Zen Hei"/>
        <family val="2"/>
      </rPr>
      <t xml:space="preserve">つの候補になります。大事なのは、どれもまだ「候補」で、原因は決まっていないことです。たとえば「ボトルの接近」は、くっつくと逆に少なく数えることもあるので、本当に増える原因かは確かめないと分かりません。</t>
    </r>
  </si>
  <si>
    <t xml:space="preserve">学生の意見と対応するものを指さしながら説明する。</t>
  </si>
  <si>
    <t xml:space="preserve">それぞれ、分かっていることと、まだ分からないことを分けてみます。</t>
  </si>
  <si>
    <r>
      <rPr>
        <sz val="10"/>
        <color rgb="FF1E2126"/>
        <rFont val="WenQuanYi Zen Hei"/>
        <family val="2"/>
      </rPr>
      <t xml:space="preserve">読み上げを候補名だけにすれば</t>
    </r>
    <r>
      <rPr>
        <sz val="10"/>
        <color rgb="FF1E2126"/>
        <rFont val="Meiryo UI"/>
        <family val="0"/>
        <charset val="1"/>
      </rPr>
      <t xml:space="preserve">45</t>
    </r>
    <r>
      <rPr>
        <sz val="10"/>
        <color rgb="FF1E2126"/>
        <rFont val="WenQuanYi Zen Hei"/>
        <family val="2"/>
      </rPr>
      <t xml:space="preserve">秒</t>
    </r>
  </si>
  <si>
    <r>
      <rPr>
        <sz val="10"/>
        <color rgb="FF1E2126"/>
        <rFont val="WenQuanYi Zen Hei"/>
        <family val="2"/>
      </rPr>
      <t xml:space="preserve">既存</t>
    </r>
    <r>
      <rPr>
        <sz val="10"/>
        <color rgb="FF1E2126"/>
        <rFont val="Meiryo UI"/>
        <family val="0"/>
        <charset val="1"/>
      </rPr>
      <t xml:space="preserve">17</t>
    </r>
    <r>
      <rPr>
        <sz val="10"/>
        <color rgb="FF1E2126"/>
        <rFont val="WenQuanYi Zen Hei"/>
        <family val="2"/>
      </rPr>
      <t xml:space="preserve">〜</t>
    </r>
    <r>
      <rPr>
        <sz val="10"/>
        <color rgb="FF1E2126"/>
        <rFont val="Meiryo UI"/>
        <family val="0"/>
        <charset val="1"/>
      </rPr>
      <t xml:space="preserve">20</t>
    </r>
    <r>
      <rPr>
        <sz val="10"/>
        <color rgb="FF1E2126"/>
        <rFont val="WenQuanYi Zen Hei"/>
        <family val="2"/>
      </rPr>
      <t xml:space="preserve">・</t>
    </r>
    <r>
      <rPr>
        <sz val="10"/>
        <color rgb="FF1E2126"/>
        <rFont val="Meiryo UI"/>
        <family val="0"/>
        <charset val="1"/>
      </rPr>
      <t xml:space="preserve">26</t>
    </r>
  </si>
  <si>
    <t xml:space="preserve">S18</t>
  </si>
  <si>
    <r>
      <rPr>
        <sz val="10"/>
        <color rgb="FF1E2126"/>
        <rFont val="Meiryo UI"/>
        <family val="0"/>
        <charset val="1"/>
      </rPr>
      <t xml:space="preserve">5</t>
    </r>
    <r>
      <rPr>
        <sz val="10"/>
        <color rgb="FF1E2126"/>
        <rFont val="WenQuanYi Zen Hei"/>
        <family val="2"/>
      </rPr>
      <t xml:space="preserve">つの候補を「確認できた事実／考えられる仮説／次に必要な検証」の</t>
    </r>
    <r>
      <rPr>
        <sz val="10"/>
        <color rgb="FF1E2126"/>
        <rFont val="Meiryo UI"/>
        <family val="0"/>
        <charset val="1"/>
      </rPr>
      <t xml:space="preserve">3</t>
    </r>
    <r>
      <rPr>
        <sz val="10"/>
        <color rgb="FF1E2126"/>
        <rFont val="WenQuanYi Zen Hei"/>
        <family val="2"/>
      </rPr>
      <t xml:space="preserve">列で整理</t>
    </r>
  </si>
  <si>
    <t xml:space="preserve">左が確認できた事実、真ん中が仮説、右が次に確かめることです。「お客様が気がしている」は印象なので、まだ事実ではありません。こうして分けると、何を確かめればいいかが見えてきます。</t>
  </si>
  <si>
    <t xml:space="preserve">透明ボトルの仮説を、イメージで見てみましょう。</t>
  </si>
  <si>
    <r>
      <rPr>
        <sz val="10"/>
        <color rgb="FF1E2126"/>
        <rFont val="Meiryo UI"/>
        <family val="0"/>
        <charset val="1"/>
      </rPr>
      <t xml:space="preserve">1</t>
    </r>
    <r>
      <rPr>
        <sz val="10"/>
        <color rgb="FF1E2126"/>
        <rFont val="WenQuanYi Zen Hei"/>
        <family val="2"/>
      </rPr>
      <t xml:space="preserve">行目（揺れ）だけ説明し、残りは見せるだけなら</t>
    </r>
    <r>
      <rPr>
        <sz val="10"/>
        <color rgb="FF1E2126"/>
        <rFont val="Meiryo UI"/>
        <family val="0"/>
        <charset val="1"/>
      </rPr>
      <t xml:space="preserve">45</t>
    </r>
    <r>
      <rPr>
        <sz val="10"/>
        <color rgb="FF1E2126"/>
        <rFont val="WenQuanYi Zen Hei"/>
        <family val="2"/>
      </rPr>
      <t xml:space="preserve">秒</t>
    </r>
  </si>
  <si>
    <r>
      <rPr>
        <sz val="10"/>
        <color rgb="FF1E2126"/>
        <rFont val="WenQuanYi Zen Hei"/>
        <family val="2"/>
      </rPr>
      <t xml:space="preserve">既存</t>
    </r>
    <r>
      <rPr>
        <sz val="10"/>
        <color rgb="FF1E2126"/>
        <rFont val="Meiryo UI"/>
        <family val="0"/>
        <charset val="1"/>
      </rPr>
      <t xml:space="preserve">17</t>
    </r>
    <r>
      <rPr>
        <sz val="10"/>
        <color rgb="FF1E2126"/>
        <rFont val="WenQuanYi Zen Hei"/>
        <family val="2"/>
      </rPr>
      <t xml:space="preserve">〜</t>
    </r>
    <r>
      <rPr>
        <sz val="10"/>
        <color rgb="FF1E2126"/>
        <rFont val="Meiryo UI"/>
        <family val="0"/>
        <charset val="1"/>
      </rPr>
      <t xml:space="preserve">20</t>
    </r>
    <r>
      <rPr>
        <sz val="10"/>
        <color rgb="FF1E2126"/>
        <rFont val="WenQuanYi Zen Hei"/>
        <family val="2"/>
      </rPr>
      <t xml:space="preserve">・</t>
    </r>
    <r>
      <rPr>
        <sz val="10"/>
        <color rgb="FF1E2126"/>
        <rFont val="Meiryo UI"/>
        <family val="0"/>
        <charset val="1"/>
      </rPr>
      <t xml:space="preserve">24</t>
    </r>
    <r>
      <rPr>
        <sz val="10"/>
        <color rgb="FF1E2126"/>
        <rFont val="WenQuanYi Zen Hei"/>
        <family val="2"/>
      </rPr>
      <t xml:space="preserve">・</t>
    </r>
    <r>
      <rPr>
        <sz val="10"/>
        <color rgb="FF1E2126"/>
        <rFont val="Meiryo UI"/>
        <family val="0"/>
        <charset val="1"/>
      </rPr>
      <t xml:space="preserve">26</t>
    </r>
  </si>
  <si>
    <r>
      <rPr>
        <sz val="10"/>
        <color rgb="FF1E2126"/>
        <rFont val="WenQuanYi Zen Hei"/>
        <family val="2"/>
      </rPr>
      <t xml:space="preserve">ボトル</t>
    </r>
    <r>
      <rPr>
        <sz val="10"/>
        <color rgb="FF1E2126"/>
        <rFont val="Meiryo UI"/>
        <family val="0"/>
        <charset val="1"/>
      </rPr>
      <t xml:space="preserve">1</t>
    </r>
    <r>
      <rPr>
        <sz val="10"/>
        <color rgb="FF1E2126"/>
        <rFont val="WenQuanYi Zen Hei"/>
        <family val="2"/>
      </rPr>
      <t xml:space="preserve">本が通るあいだの合図。左：通常（</t>
    </r>
    <r>
      <rPr>
        <sz val="10"/>
        <color rgb="FF1E2126"/>
        <rFont val="Meiryo UI"/>
        <family val="0"/>
        <charset val="1"/>
      </rPr>
      <t xml:space="preserve">1</t>
    </r>
    <r>
      <rPr>
        <sz val="10"/>
        <color rgb="FF1E2126"/>
        <rFont val="WenQuanYi Zen Hei"/>
        <family val="2"/>
      </rPr>
      <t xml:space="preserve">回）、右：仮説（</t>
    </r>
    <r>
      <rPr>
        <sz val="10"/>
        <color rgb="FF1E2126"/>
        <rFont val="Meiryo UI"/>
        <family val="0"/>
        <charset val="1"/>
      </rPr>
      <t xml:space="preserve">2</t>
    </r>
    <r>
      <rPr>
        <sz val="10"/>
        <color rgb="FF1E2126"/>
        <rFont val="WenQuanYi Zen Hei"/>
        <family val="2"/>
      </rPr>
      <t xml:space="preserve">回）。「仮説検証用のイメージ（実測ではありません）」と明記</t>
    </r>
  </si>
  <si>
    <r>
      <rPr>
        <sz val="10"/>
        <color rgb="FF1E2126"/>
        <rFont val="WenQuanYi Zen Hei"/>
        <family val="2"/>
      </rPr>
      <t xml:space="preserve">これは研修用のイメージで、実際に測ったものではありません。ボトル</t>
    </r>
    <r>
      <rPr>
        <sz val="10"/>
        <color rgb="FF1E2126"/>
        <rFont val="Meiryo UI"/>
        <family val="0"/>
        <charset val="1"/>
      </rPr>
      <t xml:space="preserve">1</t>
    </r>
    <r>
      <rPr>
        <sz val="10"/>
        <color rgb="FF1E2126"/>
        <rFont val="WenQuanYi Zen Hei"/>
        <family val="2"/>
      </rPr>
      <t xml:space="preserve">本なのに、合図が途中で一度途切れると、</t>
    </r>
    <r>
      <rPr>
        <sz val="10"/>
        <color rgb="FF1E2126"/>
        <rFont val="Meiryo UI"/>
        <family val="0"/>
        <charset val="1"/>
      </rPr>
      <t xml:space="preserve">PLC</t>
    </r>
    <r>
      <rPr>
        <sz val="10"/>
        <color rgb="FF1E2126"/>
        <rFont val="WenQuanYi Zen Hei"/>
        <family val="2"/>
      </rPr>
      <t xml:space="preserve">は</t>
    </r>
    <r>
      <rPr>
        <sz val="10"/>
        <color rgb="FF1E2126"/>
        <rFont val="Meiryo UI"/>
        <family val="0"/>
        <charset val="1"/>
      </rPr>
      <t xml:space="preserve">2</t>
    </r>
    <r>
      <rPr>
        <sz val="10"/>
        <color rgb="FF1E2126"/>
        <rFont val="WenQuanYi Zen Hei"/>
        <family val="2"/>
      </rPr>
      <t xml:space="preserve">本と数えます。透明なボトルは光の減り方が小さいので、こうしたことが起きやすいと言われています。ただし、このお客様のラインで本当に起きているかは、まだ分かりません。</t>
    </r>
  </si>
  <si>
    <r>
      <rPr>
        <sz val="10"/>
        <color rgb="FF1E2126"/>
        <rFont val="Meiryo UI"/>
        <family val="0"/>
        <charset val="1"/>
      </rPr>
      <t xml:space="preserve">IMAGE_PLACEHOLDER_03</t>
    </r>
    <r>
      <rPr>
        <sz val="10"/>
        <color rgb="FF1E2126"/>
        <rFont val="WenQuanYi Zen Hei"/>
        <family val="2"/>
      </rPr>
      <t xml:space="preserve">（</t>
    </r>
    <r>
      <rPr>
        <sz val="10"/>
        <color rgb="FF1E2126"/>
        <rFont val="Meiryo UI"/>
        <family val="0"/>
        <charset val="1"/>
      </rPr>
      <t xml:space="preserve">PET</t>
    </r>
    <r>
      <rPr>
        <sz val="10"/>
        <color rgb="FF1E2126"/>
        <rFont val="WenQuanYi Zen Hei"/>
        <family val="2"/>
      </rPr>
      <t xml:space="preserve">ボトルの誤検出）</t>
    </r>
  </si>
  <si>
    <t xml:space="preserve">では、どうやって確かめますか？</t>
  </si>
  <si>
    <r>
      <rPr>
        <sz val="10"/>
        <color rgb="FF1E2126"/>
        <rFont val="WenQuanYi Zen Hei"/>
        <family val="2"/>
      </rPr>
      <t xml:space="preserve">省略可（</t>
    </r>
    <r>
      <rPr>
        <sz val="10"/>
        <color rgb="FF1E2126"/>
        <rFont val="Meiryo UI"/>
        <family val="0"/>
        <charset val="1"/>
      </rPr>
      <t xml:space="preserve">S17</t>
    </r>
    <r>
      <rPr>
        <sz val="10"/>
        <color rgb="FF1E2126"/>
        <rFont val="WenQuanYi Zen Hei"/>
        <family val="2"/>
      </rPr>
      <t xml:space="preserve">の説明で代える）。ただし映像化した場合は残す</t>
    </r>
  </si>
  <si>
    <r>
      <rPr>
        <sz val="10"/>
        <color rgb="FF1E2126"/>
        <rFont val="WenQuanYi Zen Hei"/>
        <family val="2"/>
      </rPr>
      <t xml:space="preserve">既存</t>
    </r>
    <r>
      <rPr>
        <sz val="10"/>
        <color rgb="FF1E2126"/>
        <rFont val="Meiryo UI"/>
        <family val="0"/>
        <charset val="1"/>
      </rPr>
      <t xml:space="preserve">20</t>
    </r>
  </si>
  <si>
    <r>
      <rPr>
        <sz val="10"/>
        <color rgb="FF1E2126"/>
        <rFont val="WenQuanYi Zen Hei"/>
        <family val="2"/>
      </rPr>
      <t xml:space="preserve">原因の候補は</t>
    </r>
    <r>
      <rPr>
        <sz val="10"/>
        <color rgb="FF1E2126"/>
        <rFont val="Meiryo UI"/>
        <family val="0"/>
        <charset val="1"/>
      </rPr>
      <t xml:space="preserve">5</t>
    </r>
    <r>
      <rPr>
        <sz val="10"/>
        <color rgb="FF1E2126"/>
        <rFont val="WenQuanYi Zen Hei"/>
        <family val="2"/>
      </rPr>
      <t xml:space="preserve">つ。どこで数が増えているかを知るには、どうすればいいでしょう。</t>
    </r>
  </si>
  <si>
    <r>
      <rPr>
        <sz val="10"/>
        <color rgb="FF1E2126"/>
        <rFont val="Meiryo UI"/>
        <family val="0"/>
        <charset val="1"/>
      </rPr>
      <t xml:space="preserve">A</t>
    </r>
    <r>
      <rPr>
        <sz val="10"/>
        <color rgb="FF1E2126"/>
        <rFont val="WenQuanYi Zen Hei"/>
        <family val="2"/>
      </rPr>
      <t xml:space="preserve">「早く直したい」／</t>
    </r>
    <r>
      <rPr>
        <sz val="10"/>
        <color rgb="FF1E2126"/>
        <rFont val="Meiryo UI"/>
        <family val="0"/>
        <charset val="1"/>
      </rPr>
      <t xml:space="preserve">B</t>
    </r>
    <r>
      <rPr>
        <sz val="10"/>
        <color rgb="FF1E2126"/>
        <rFont val="WenQuanYi Zen Hei"/>
        <family val="2"/>
      </rPr>
      <t xml:space="preserve">「どこで増えるか分かる」／</t>
    </r>
    <r>
      <rPr>
        <sz val="10"/>
        <color rgb="FF1E2126"/>
        <rFont val="Meiryo UI"/>
        <family val="0"/>
        <charset val="1"/>
      </rPr>
      <t xml:space="preserve">C</t>
    </r>
    <r>
      <rPr>
        <sz val="10"/>
        <color rgb="FF1E2126"/>
        <rFont val="WenQuanYi Zen Hei"/>
        <family val="2"/>
      </rPr>
      <t xml:space="preserve">「遅くすれば安定しそう」</t>
    </r>
  </si>
  <si>
    <r>
      <rPr>
        <sz val="10"/>
        <color rgb="FF1E2126"/>
        <rFont val="Meiryo UI"/>
        <family val="0"/>
        <charset val="1"/>
      </rPr>
      <t xml:space="preserve">C</t>
    </r>
    <r>
      <rPr>
        <sz val="10"/>
        <color rgb="FF1E2126"/>
        <rFont val="WenQuanYi Zen Hei"/>
        <family val="2"/>
      </rPr>
      <t xml:space="preserve">の人には「速度を下げると、お客様にとって何が困る？」と問い返す。</t>
    </r>
  </si>
  <si>
    <t xml:space="preserve">中田さん「『どこで数が増えているか』が分かる方法は、どれでしょう？」</t>
  </si>
  <si>
    <t xml:space="preserve">答えを見てみましょう。</t>
  </si>
  <si>
    <r>
      <rPr>
        <sz val="10"/>
        <color rgb="FF1E2126"/>
        <rFont val="WenQuanYi Zen Hei"/>
        <family val="2"/>
      </rPr>
      <t xml:space="preserve">理由の聞き取りを省けば</t>
    </r>
    <r>
      <rPr>
        <sz val="10"/>
        <color rgb="FF1E2126"/>
        <rFont val="Meiryo UI"/>
        <family val="0"/>
        <charset val="1"/>
      </rPr>
      <t xml:space="preserve">45</t>
    </r>
    <r>
      <rPr>
        <sz val="10"/>
        <color rgb="FF1E2126"/>
        <rFont val="WenQuanYi Zen Hei"/>
        <family val="2"/>
      </rPr>
      <t xml:space="preserve">秒</t>
    </r>
  </si>
  <si>
    <r>
      <rPr>
        <sz val="10"/>
        <color rgb="FF1E2126"/>
        <rFont val="WenQuanYi Zen Hei"/>
        <family val="2"/>
      </rPr>
      <t xml:space="preserve">既存</t>
    </r>
    <r>
      <rPr>
        <sz val="10"/>
        <color rgb="FF1E2126"/>
        <rFont val="Meiryo UI"/>
        <family val="0"/>
        <charset val="1"/>
      </rPr>
      <t xml:space="preserve">21</t>
    </r>
    <r>
      <rPr>
        <sz val="10"/>
        <color rgb="FF1E2126"/>
        <rFont val="WenQuanYi Zen Hei"/>
        <family val="2"/>
      </rPr>
      <t xml:space="preserve">・</t>
    </r>
    <r>
      <rPr>
        <sz val="10"/>
        <color rgb="FF1E2126"/>
        <rFont val="Meiryo UI"/>
        <family val="0"/>
        <charset val="1"/>
      </rPr>
      <t xml:space="preserve">22</t>
    </r>
  </si>
  <si>
    <r>
      <rPr>
        <sz val="10"/>
        <color rgb="FF1E2126"/>
        <rFont val="WenQuanYi Zen Hei"/>
        <family val="2"/>
      </rPr>
      <t xml:space="preserve">通過本数・合図の回数・</t>
    </r>
    <r>
      <rPr>
        <sz val="10"/>
        <color rgb="FF1E2126"/>
        <rFont val="Meiryo UI"/>
        <family val="0"/>
        <charset val="1"/>
      </rPr>
      <t xml:space="preserve">PLC</t>
    </r>
    <r>
      <rPr>
        <sz val="10"/>
        <color rgb="FF1E2126"/>
        <rFont val="WenQuanYi Zen Hei"/>
        <family val="2"/>
      </rPr>
      <t xml:space="preserve">のカウントを同時に記録し、どちら側で増えているかを分ける図。</t>
    </r>
    <r>
      <rPr>
        <sz val="10"/>
        <color rgb="FF1E2126"/>
        <rFont val="Meiryo UI"/>
        <family val="0"/>
        <charset val="1"/>
      </rPr>
      <t xml:space="preserve">A</t>
    </r>
    <r>
      <rPr>
        <sz val="10"/>
        <color rgb="FF1E2126"/>
        <rFont val="WenQuanYi Zen Hei"/>
        <family val="2"/>
      </rPr>
      <t xml:space="preserve">・</t>
    </r>
    <r>
      <rPr>
        <sz val="10"/>
        <color rgb="FF1E2126"/>
        <rFont val="Meiryo UI"/>
        <family val="0"/>
        <charset val="1"/>
      </rPr>
      <t xml:space="preserve">C</t>
    </r>
    <r>
      <rPr>
        <sz val="10"/>
        <color rgb="FF1E2126"/>
        <rFont val="WenQuanYi Zen Hei"/>
        <family val="2"/>
      </rPr>
      <t xml:space="preserve">へのお客様の反応</t>
    </r>
  </si>
  <si>
    <r>
      <rPr>
        <sz val="10"/>
        <color rgb="FF1E2126"/>
        <rFont val="WenQuanYi Zen Hei"/>
        <family val="2"/>
      </rPr>
      <t xml:space="preserve">同じ時間に</t>
    </r>
    <r>
      <rPr>
        <sz val="10"/>
        <color rgb="FF1E2126"/>
        <rFont val="Meiryo UI"/>
        <family val="0"/>
        <charset val="1"/>
      </rPr>
      <t xml:space="preserve">3</t>
    </r>
    <r>
      <rPr>
        <sz val="10"/>
        <color rgb="FF1E2126"/>
        <rFont val="WenQuanYi Zen Hei"/>
        <family val="2"/>
      </rPr>
      <t xml:space="preserve">つを記録します。合図の回数が本数より多ければ、センサ側、つまりボトルや光や設置で増えています。合図の回数は合っているのにカウントが多ければ、</t>
    </r>
    <r>
      <rPr>
        <sz val="10"/>
        <color rgb="FF1E2126"/>
        <rFont val="Meiryo UI"/>
        <family val="0"/>
        <charset val="1"/>
      </rPr>
      <t xml:space="preserve">PLC</t>
    </r>
    <r>
      <rPr>
        <sz val="10"/>
        <color rgb="FF1E2126"/>
        <rFont val="WenQuanYi Zen Hei"/>
        <family val="2"/>
      </rPr>
      <t xml:space="preserve">側の数え方です。こうして場所を分けると、候補を絞り込めます。</t>
    </r>
  </si>
  <si>
    <r>
      <rPr>
        <sz val="10"/>
        <color rgb="FF1E2126"/>
        <rFont val="Meiryo UI"/>
        <family val="0"/>
        <charset val="1"/>
      </rPr>
      <t xml:space="preserve">A</t>
    </r>
    <r>
      <rPr>
        <sz val="10"/>
        <color rgb="FF1E2126"/>
        <rFont val="WenQuanYi Zen Hei"/>
        <family val="2"/>
      </rPr>
      <t xml:space="preserve">と</t>
    </r>
    <r>
      <rPr>
        <sz val="10"/>
        <color rgb="FF1E2126"/>
        <rFont val="Meiryo UI"/>
        <family val="0"/>
        <charset val="1"/>
      </rPr>
      <t xml:space="preserve">C</t>
    </r>
    <r>
      <rPr>
        <sz val="10"/>
        <color rgb="FF1E2126"/>
        <rFont val="WenQuanYi Zen Hei"/>
        <family val="2"/>
      </rPr>
      <t xml:space="preserve">を選ぶと、お客様はどう感じたでしょう？</t>
    </r>
  </si>
  <si>
    <t xml:space="preserve">「直らなかったら困る」「生産が減るのは困る」</t>
  </si>
  <si>
    <r>
      <rPr>
        <sz val="10"/>
        <color rgb="FF1E2126"/>
        <rFont val="WenQuanYi Zen Hei"/>
        <family val="2"/>
      </rPr>
      <t xml:space="preserve">お客様の反応は、あとで提案を考えるときの大事な条件になる、と伝えておく（</t>
    </r>
    <r>
      <rPr>
        <sz val="10"/>
        <color rgb="FF1E2126"/>
        <rFont val="Meiryo UI"/>
        <family val="0"/>
        <charset val="1"/>
      </rPr>
      <t xml:space="preserve">S30</t>
    </r>
    <r>
      <rPr>
        <sz val="10"/>
        <color rgb="FF1E2126"/>
        <rFont val="WenQuanYi Zen Hei"/>
        <family val="2"/>
      </rPr>
      <t xml:space="preserve">で使う）。</t>
    </r>
  </si>
  <si>
    <t xml:space="preserve">ここで、今日いちばん大事な問いです。</t>
  </si>
  <si>
    <r>
      <rPr>
        <sz val="10"/>
        <color rgb="FF1E2126"/>
        <rFont val="Meiryo UI"/>
        <family val="0"/>
        <charset val="1"/>
      </rPr>
      <t xml:space="preserve">A</t>
    </r>
    <r>
      <rPr>
        <sz val="10"/>
        <color rgb="FF1E2126"/>
        <rFont val="WenQuanYi Zen Hei"/>
        <family val="2"/>
      </rPr>
      <t xml:space="preserve">・</t>
    </r>
    <r>
      <rPr>
        <sz val="10"/>
        <color rgb="FF1E2126"/>
        <rFont val="Meiryo UI"/>
        <family val="0"/>
        <charset val="1"/>
      </rPr>
      <t xml:space="preserve">C</t>
    </r>
    <r>
      <rPr>
        <sz val="10"/>
        <color rgb="FF1E2126"/>
        <rFont val="WenQuanYi Zen Hei"/>
        <family val="2"/>
      </rPr>
      <t xml:space="preserve">の反応を読み上げなければ</t>
    </r>
    <r>
      <rPr>
        <sz val="10"/>
        <color rgb="FF1E2126"/>
        <rFont val="Meiryo UI"/>
        <family val="0"/>
        <charset val="1"/>
      </rPr>
      <t xml:space="preserve">1</t>
    </r>
    <r>
      <rPr>
        <sz val="10"/>
        <color rgb="FF1E2126"/>
        <rFont val="WenQuanYi Zen Hei"/>
        <family val="2"/>
      </rPr>
      <t xml:space="preserve">分</t>
    </r>
  </si>
  <si>
    <r>
      <rPr>
        <sz val="10"/>
        <color rgb="FF1E2126"/>
        <rFont val="WenQuanYi Zen Hei"/>
        <family val="2"/>
      </rPr>
      <t xml:space="preserve">既存</t>
    </r>
    <r>
      <rPr>
        <sz val="10"/>
        <color rgb="FF1E2126"/>
        <rFont val="Meiryo UI"/>
        <family val="0"/>
        <charset val="1"/>
      </rPr>
      <t xml:space="preserve">23</t>
    </r>
    <r>
      <rPr>
        <sz val="10"/>
        <color rgb="FF1E2126"/>
        <rFont val="WenQuanYi Zen Hei"/>
        <family val="2"/>
      </rPr>
      <t xml:space="preserve">・</t>
    </r>
    <r>
      <rPr>
        <sz val="10"/>
        <color rgb="FF1E2126"/>
        <rFont val="Meiryo UI"/>
        <family val="0"/>
        <charset val="1"/>
      </rPr>
      <t xml:space="preserve">24</t>
    </r>
    <r>
      <rPr>
        <sz val="10"/>
        <color rgb="FF1E2126"/>
        <rFont val="WenQuanYi Zen Hei"/>
        <family val="2"/>
      </rPr>
      <t xml:space="preserve">・</t>
    </r>
    <r>
      <rPr>
        <sz val="10"/>
        <color rgb="FF1E2126"/>
        <rFont val="Meiryo UI"/>
        <family val="0"/>
        <charset val="1"/>
      </rPr>
      <t xml:space="preserve">25</t>
    </r>
  </si>
  <si>
    <t xml:space="preserve">S22</t>
  </si>
  <si>
    <t xml:space="preserve">グループ</t>
  </si>
  <si>
    <t xml:space="preserve">自由記述の問いと時間配分</t>
  </si>
  <si>
    <t xml:space="preserve">ここまでの体験を使って考えてください。営業がお客様に信頼されるために、いちばん大事な考え方です。</t>
  </si>
  <si>
    <t xml:space="preserve">原因を決めつけずに調べるには、何を確認すればよいでしょうか？</t>
  </si>
  <si>
    <t xml:space="preserve">「いろいろな場所を同時に記録する」「条件を変えて試す」「多い日と少ない日を比べる」「お客様にもっと聞く」</t>
  </si>
  <si>
    <r>
      <rPr>
        <sz val="10"/>
        <color rgb="FF1E2126"/>
        <rFont val="WenQuanYi Zen Hei"/>
        <family val="2"/>
      </rPr>
      <t xml:space="preserve">出た意見を次のスライドの</t>
    </r>
    <r>
      <rPr>
        <sz val="10"/>
        <color rgb="FF1E2126"/>
        <rFont val="Meiryo UI"/>
        <family val="0"/>
        <charset val="1"/>
      </rPr>
      <t xml:space="preserve">3</t>
    </r>
    <r>
      <rPr>
        <sz val="10"/>
        <color rgb="FF1E2126"/>
        <rFont val="WenQuanYi Zen Hei"/>
        <family val="2"/>
      </rPr>
      <t xml:space="preserve">つに対応づけて認める。「お客様にもっと聞く」は</t>
    </r>
    <r>
      <rPr>
        <sz val="10"/>
        <color rgb="FF1E2126"/>
        <rFont val="Meiryo UI"/>
        <family val="0"/>
        <charset val="1"/>
      </rPr>
      <t xml:space="preserve">HEARING</t>
    </r>
    <r>
      <rPr>
        <sz val="10"/>
        <color rgb="FF1E2126"/>
        <rFont val="WenQuanYi Zen Hei"/>
        <family val="2"/>
      </rPr>
      <t xml:space="preserve">の大切さとして評価する。</t>
    </r>
  </si>
  <si>
    <t xml:space="preserve">「揺れのせいだ」と言い切るには、どんな比べ方をすればいい？</t>
  </si>
  <si>
    <t xml:space="preserve">皆さんの答えをまとめると…</t>
  </si>
  <si>
    <r>
      <rPr>
        <sz val="10"/>
        <color rgb="FF1E2126"/>
        <rFont val="WenQuanYi Zen Hei"/>
        <family val="2"/>
      </rPr>
      <t xml:space="preserve">発表を省き、講師がまとめるなら</t>
    </r>
    <r>
      <rPr>
        <sz val="10"/>
        <color rgb="FF1E2126"/>
        <rFont val="Meiryo UI"/>
        <family val="0"/>
        <charset val="1"/>
      </rPr>
      <t xml:space="preserve">1</t>
    </r>
    <r>
      <rPr>
        <sz val="10"/>
        <color rgb="FF1E2126"/>
        <rFont val="WenQuanYi Zen Hei"/>
        <family val="2"/>
      </rPr>
      <t xml:space="preserve">分</t>
    </r>
    <r>
      <rPr>
        <sz val="10"/>
        <color rgb="FF1E2126"/>
        <rFont val="Meiryo UI"/>
        <family val="0"/>
        <charset val="1"/>
      </rPr>
      <t xml:space="preserve">30</t>
    </r>
    <r>
      <rPr>
        <sz val="10"/>
        <color rgb="FF1E2126"/>
        <rFont val="WenQuanYi Zen Hei"/>
        <family val="2"/>
      </rPr>
      <t xml:space="preserve">秒</t>
    </r>
  </si>
  <si>
    <t xml:space="preserve">S23</t>
  </si>
  <si>
    <r>
      <rPr>
        <sz val="10"/>
        <color rgb="FF1E2126"/>
        <rFont val="WenQuanYi Zen Hei"/>
        <family val="2"/>
      </rPr>
      <t xml:space="preserve">確かめ方</t>
    </r>
    <r>
      <rPr>
        <sz val="10"/>
        <color rgb="FF1E2126"/>
        <rFont val="Meiryo UI"/>
        <family val="0"/>
        <charset val="1"/>
      </rPr>
      <t xml:space="preserve">3</t>
    </r>
    <r>
      <rPr>
        <sz val="10"/>
        <color rgb="FF1E2126"/>
        <rFont val="WenQuanYi Zen Hei"/>
        <family val="2"/>
      </rPr>
      <t xml:space="preserve">つと、まとめのメッセージ</t>
    </r>
  </si>
  <si>
    <t xml:space="preserve">事実と仮説を分けて、確かめてから判断する。これがコンサルティング営業の考え方の核です。決めつけないから、お客様は納得して判断できます。</t>
  </si>
  <si>
    <t xml:space="preserve">ここで少し、お客様の気持ちに目を向けてみましょう。</t>
  </si>
  <si>
    <r>
      <rPr>
        <sz val="10"/>
        <color rgb="FF1E2126"/>
        <rFont val="WenQuanYi Zen Hei"/>
        <family val="2"/>
      </rPr>
      <t xml:space="preserve">新規（既存</t>
    </r>
    <r>
      <rPr>
        <sz val="10"/>
        <color rgb="FF1E2126"/>
        <rFont val="Meiryo UI"/>
        <family val="0"/>
        <charset val="1"/>
      </rPr>
      <t xml:space="preserve">26</t>
    </r>
    <r>
      <rPr>
        <sz val="10"/>
        <color rgb="FF1E2126"/>
        <rFont val="WenQuanYi Zen Hei"/>
        <family val="2"/>
      </rPr>
      <t xml:space="preserve">を発展）</t>
    </r>
  </si>
  <si>
    <t xml:space="preserve">S24</t>
  </si>
  <si>
    <t xml:space="preserve">DISCOVERY</t>
  </si>
  <si>
    <t xml:space="preserve">ここが今日の中心です。お客様が本当に困っていることを、皆さん自身で見つけてください。</t>
  </si>
  <si>
    <r>
      <rPr>
        <sz val="10"/>
        <color rgb="FF1E2126"/>
        <rFont val="WenQuanYi Zen Hei"/>
        <family val="2"/>
      </rPr>
      <t xml:space="preserve">佐藤さん・高橋さんの言葉と、自由記述の問い（</t>
    </r>
    <r>
      <rPr>
        <sz val="10"/>
        <color rgb="FF1E2126"/>
        <rFont val="Meiryo UI"/>
        <family val="0"/>
        <charset val="1"/>
      </rPr>
      <t xml:space="preserve">30</t>
    </r>
    <r>
      <rPr>
        <sz val="10"/>
        <color rgb="FF1E2126"/>
        <rFont val="WenQuanYi Zen Hei"/>
        <family val="2"/>
      </rPr>
      <t xml:space="preserve">秒）</t>
    </r>
  </si>
  <si>
    <t xml:space="preserve">「何とか対応できている」。この言葉、そのまま受け取っていいでしょうか。</t>
  </si>
  <si>
    <t xml:space="preserve">この言葉の裏に、何がありそうですか？次に、何を聞きますか？</t>
  </si>
  <si>
    <t xml:space="preserve">「本当は大変なのでは？」「誰かが手で数え直している？」「どれくらい手間がかかっているか聞く」</t>
  </si>
  <si>
    <t xml:space="preserve">「何とか」という言葉に引っかかった人を評価する。価格や他社事例を聞くという答えには、聞いた場合の反応を次のスライドで見せる。</t>
  </si>
  <si>
    <t xml:space="preserve">森さん「『何とか対応できている』の裏に、困りごとが隠れていそうです」</t>
  </si>
  <si>
    <r>
      <rPr>
        <sz val="10"/>
        <color rgb="FF1E2126"/>
        <rFont val="Meiryo UI"/>
        <family val="0"/>
        <charset val="1"/>
      </rPr>
      <t xml:space="preserve">IMAGE_PLACEHOLDER_06</t>
    </r>
    <r>
      <rPr>
        <sz val="10"/>
        <color rgb="FF1E2126"/>
        <rFont val="WenQuanYi Zen Hei"/>
        <family val="2"/>
      </rPr>
      <t xml:space="preserve">（お客様（佐藤さん・高橋さん）の人物）</t>
    </r>
  </si>
  <si>
    <r>
      <rPr>
        <sz val="10"/>
        <color rgb="FF1E2126"/>
        <rFont val="WenQuanYi Zen Hei"/>
        <family val="2"/>
      </rPr>
      <t xml:space="preserve">考える時間を</t>
    </r>
    <r>
      <rPr>
        <sz val="10"/>
        <color rgb="FF1E2126"/>
        <rFont val="Meiryo UI"/>
        <family val="0"/>
        <charset val="1"/>
      </rPr>
      <t xml:space="preserve">15</t>
    </r>
    <r>
      <rPr>
        <sz val="10"/>
        <color rgb="FF1E2126"/>
        <rFont val="WenQuanYi Zen Hei"/>
        <family val="2"/>
      </rPr>
      <t xml:space="preserve">秒にすれば</t>
    </r>
    <r>
      <rPr>
        <sz val="10"/>
        <color rgb="FF1E2126"/>
        <rFont val="Meiryo UI"/>
        <family val="0"/>
        <charset val="1"/>
      </rPr>
      <t xml:space="preserve">1</t>
    </r>
    <r>
      <rPr>
        <sz val="10"/>
        <color rgb="FF1E2126"/>
        <rFont val="WenQuanYi Zen Hei"/>
        <family val="2"/>
      </rPr>
      <t xml:space="preserve">分</t>
    </r>
  </si>
  <si>
    <r>
      <rPr>
        <sz val="10"/>
        <color rgb="FF1E2126"/>
        <rFont val="WenQuanYi Zen Hei"/>
        <family val="2"/>
      </rPr>
      <t xml:space="preserve">既存</t>
    </r>
    <r>
      <rPr>
        <sz val="10"/>
        <color rgb="FF1E2126"/>
        <rFont val="Meiryo UI"/>
        <family val="0"/>
        <charset val="1"/>
      </rPr>
      <t xml:space="preserve">27</t>
    </r>
    <r>
      <rPr>
        <sz val="10"/>
        <color rgb="FF1E2126"/>
        <rFont val="WenQuanYi Zen Hei"/>
        <family val="2"/>
      </rPr>
      <t xml:space="preserve">・</t>
    </r>
    <r>
      <rPr>
        <sz val="10"/>
        <color rgb="FF1E2126"/>
        <rFont val="Meiryo UI"/>
        <family val="0"/>
        <charset val="1"/>
      </rPr>
      <t xml:space="preserve">28</t>
    </r>
    <r>
      <rPr>
        <sz val="10"/>
        <color rgb="FF1E2126"/>
        <rFont val="WenQuanYi Zen Hei"/>
        <family val="2"/>
      </rPr>
      <t xml:space="preserve">・</t>
    </r>
    <r>
      <rPr>
        <sz val="10"/>
        <color rgb="FF1E2126"/>
        <rFont val="Meiryo UI"/>
        <family val="0"/>
        <charset val="1"/>
      </rPr>
      <t xml:space="preserve">29</t>
    </r>
    <r>
      <rPr>
        <sz val="10"/>
        <color rgb="FF1E2126"/>
        <rFont val="WenQuanYi Zen Hei"/>
        <family val="2"/>
      </rPr>
      <t xml:space="preserve">（</t>
    </r>
    <r>
      <rPr>
        <sz val="10"/>
        <color rgb="FF1E2126"/>
        <rFont val="Meiryo UI"/>
        <family val="0"/>
        <charset val="1"/>
      </rPr>
      <t xml:space="preserve">3</t>
    </r>
    <r>
      <rPr>
        <sz val="10"/>
        <color rgb="FF1E2126"/>
        <rFont val="WenQuanYi Zen Hei"/>
        <family val="2"/>
      </rPr>
      <t xml:space="preserve">択→自由）</t>
    </r>
  </si>
  <si>
    <t xml:space="preserve">手間を聞いたときの答えと、価格・他社事例を聞いたときの答え</t>
  </si>
  <si>
    <t xml:space="preserve">手間を聞くと、確認のし直しや、ライン停止まで起きていることが分かりました。価格や他社事例を聞くと、お客様は「それより、うちの原因を知りたい」と答えています。</t>
  </si>
  <si>
    <t xml:space="preserve">では、今日の中心の問いです。</t>
  </si>
  <si>
    <r>
      <rPr>
        <sz val="10"/>
        <color rgb="FF1E2126"/>
        <rFont val="WenQuanYi Zen Hei"/>
        <family val="2"/>
      </rPr>
      <t xml:space="preserve">右側（価格・他社事例）を省けば</t>
    </r>
    <r>
      <rPr>
        <sz val="10"/>
        <color rgb="FF1E2126"/>
        <rFont val="Meiryo UI"/>
        <family val="0"/>
        <charset val="1"/>
      </rPr>
      <t xml:space="preserve">45</t>
    </r>
    <r>
      <rPr>
        <sz val="10"/>
        <color rgb="FF1E2126"/>
        <rFont val="WenQuanYi Zen Hei"/>
        <family val="2"/>
      </rPr>
      <t xml:space="preserve">秒</t>
    </r>
  </si>
  <si>
    <r>
      <rPr>
        <sz val="10"/>
        <color rgb="FF1E2126"/>
        <rFont val="WenQuanYi Zen Hei"/>
        <family val="2"/>
      </rPr>
      <t xml:space="preserve">既存</t>
    </r>
    <r>
      <rPr>
        <sz val="10"/>
        <color rgb="FF1E2126"/>
        <rFont val="Meiryo UI"/>
        <family val="0"/>
        <charset val="1"/>
      </rPr>
      <t xml:space="preserve">30</t>
    </r>
    <r>
      <rPr>
        <sz val="10"/>
        <color rgb="FF1E2126"/>
        <rFont val="WenQuanYi Zen Hei"/>
        <family val="2"/>
      </rPr>
      <t xml:space="preserve">・</t>
    </r>
    <r>
      <rPr>
        <sz val="10"/>
        <color rgb="FF1E2126"/>
        <rFont val="Meiryo UI"/>
        <family val="0"/>
        <charset val="1"/>
      </rPr>
      <t xml:space="preserve">31</t>
    </r>
    <r>
      <rPr>
        <sz val="10"/>
        <color rgb="FF1E2126"/>
        <rFont val="WenQuanYi Zen Hei"/>
        <family val="2"/>
      </rPr>
      <t xml:space="preserve">・</t>
    </r>
    <r>
      <rPr>
        <sz val="10"/>
        <color rgb="FF1E2126"/>
        <rFont val="Meiryo UI"/>
        <family val="0"/>
        <charset val="1"/>
      </rPr>
      <t xml:space="preserve">32</t>
    </r>
  </si>
  <si>
    <t xml:space="preserve">個人→グループ</t>
  </si>
  <si>
    <t xml:space="preserve">自由記述の問いと時間配分。答えは表示しない</t>
  </si>
  <si>
    <t xml:space="preserve">誤カウントがなくなったら、お客様は何がうれしいのか。数が合うこと、のさらに先を考えてみてください。</t>
  </si>
  <si>
    <t xml:space="preserve">誤カウントがなくなると、お客様は何がうれしいのでしょうか？</t>
  </si>
  <si>
    <t xml:space="preserve">「確認作業がなくなる」「ラインを止めなくていい」「品質管理の人が楽になる」「安心して生産できる」「上司に報告しなくていい」</t>
  </si>
  <si>
    <t xml:space="preserve">「数が合う」で止まったグループには「数が合うと、誰の何が楽になる？」と問い返す。答えを先に言わない。</t>
  </si>
  <si>
    <t xml:space="preserve">「確認し直す」「ラインを止める」。それがなくなると、工場はどうなる？</t>
  </si>
  <si>
    <r>
      <rPr>
        <sz val="10"/>
        <color rgb="FF1E2126"/>
        <rFont val="WenQuanYi Zen Hei"/>
        <family val="2"/>
      </rPr>
      <t xml:space="preserve">皆さんの答えを、</t>
    </r>
    <r>
      <rPr>
        <sz val="10"/>
        <color rgb="FF1E2126"/>
        <rFont val="Meiryo UI"/>
        <family val="0"/>
        <charset val="1"/>
      </rPr>
      <t xml:space="preserve">3</t>
    </r>
    <r>
      <rPr>
        <sz val="10"/>
        <color rgb="FF1E2126"/>
        <rFont val="WenQuanYi Zen Hei"/>
        <family val="2"/>
      </rPr>
      <t xml:space="preserve">つの段に整理してみます。</t>
    </r>
  </si>
  <si>
    <r>
      <rPr>
        <sz val="10"/>
        <color rgb="FF1E2126"/>
        <rFont val="WenQuanYi Zen Hei"/>
        <family val="2"/>
      </rPr>
      <t xml:space="preserve">省略不可（プログラムの中心）。発表を</t>
    </r>
    <r>
      <rPr>
        <sz val="10"/>
        <color rgb="FF1E2126"/>
        <rFont val="Meiryo UI"/>
        <family val="0"/>
        <charset val="1"/>
      </rPr>
      <t xml:space="preserve">1</t>
    </r>
    <r>
      <rPr>
        <sz val="10"/>
        <color rgb="FF1E2126"/>
        <rFont val="WenQuanYi Zen Hei"/>
        <family val="2"/>
      </rPr>
      <t xml:space="preserve">グループにすれば</t>
    </r>
    <r>
      <rPr>
        <sz val="10"/>
        <color rgb="FF1E2126"/>
        <rFont val="Meiryo UI"/>
        <family val="0"/>
        <charset val="1"/>
      </rPr>
      <t xml:space="preserve">2</t>
    </r>
    <r>
      <rPr>
        <sz val="10"/>
        <color rgb="FF1E2126"/>
        <rFont val="WenQuanYi Zen Hei"/>
        <family val="2"/>
      </rPr>
      <t xml:space="preserve">分</t>
    </r>
    <r>
      <rPr>
        <sz val="10"/>
        <color rgb="FF1E2126"/>
        <rFont val="Meiryo UI"/>
        <family val="0"/>
        <charset val="1"/>
      </rPr>
      <t xml:space="preserve">30</t>
    </r>
    <r>
      <rPr>
        <sz val="10"/>
        <color rgb="FF1E2126"/>
        <rFont val="WenQuanYi Zen Hei"/>
        <family val="2"/>
      </rPr>
      <t xml:space="preserve">秒</t>
    </r>
  </si>
  <si>
    <r>
      <rPr>
        <sz val="10"/>
        <color rgb="FF1E2126"/>
        <rFont val="WenQuanYi Zen Hei"/>
        <family val="2"/>
      </rPr>
      <t xml:space="preserve">既存</t>
    </r>
    <r>
      <rPr>
        <sz val="10"/>
        <color rgb="FF1E2126"/>
        <rFont val="Meiryo UI"/>
        <family val="0"/>
        <charset val="1"/>
      </rPr>
      <t xml:space="preserve">33</t>
    </r>
    <r>
      <rPr>
        <sz val="10"/>
        <color rgb="FF1E2126"/>
        <rFont val="WenQuanYi Zen Hei"/>
        <family val="2"/>
      </rPr>
      <t xml:space="preserve">・</t>
    </r>
    <r>
      <rPr>
        <sz val="10"/>
        <color rgb="FF1E2126"/>
        <rFont val="Meiryo UI"/>
        <family val="0"/>
        <charset val="1"/>
      </rPr>
      <t xml:space="preserve">34</t>
    </r>
    <r>
      <rPr>
        <sz val="10"/>
        <color rgb="FF1E2126"/>
        <rFont val="WenQuanYi Zen Hei"/>
        <family val="2"/>
      </rPr>
      <t xml:space="preserve">（</t>
    </r>
    <r>
      <rPr>
        <sz val="10"/>
        <color rgb="FF1E2126"/>
        <rFont val="Meiryo UI"/>
        <family val="0"/>
        <charset val="1"/>
      </rPr>
      <t xml:space="preserve">3</t>
    </r>
    <r>
      <rPr>
        <sz val="10"/>
        <color rgb="FF1E2126"/>
        <rFont val="WenQuanYi Zen Hei"/>
        <family val="2"/>
      </rPr>
      <t xml:space="preserve">択→自由記述）</t>
    </r>
  </si>
  <si>
    <t xml:space="preserve">S28</t>
  </si>
  <si>
    <r>
      <rPr>
        <sz val="10"/>
        <color rgb="FF1E2126"/>
        <rFont val="Meiryo UI"/>
        <family val="0"/>
        <charset val="1"/>
      </rPr>
      <t xml:space="preserve">3</t>
    </r>
    <r>
      <rPr>
        <sz val="10"/>
        <color rgb="FF1E2126"/>
        <rFont val="WenQuanYi Zen Hei"/>
        <family val="2"/>
      </rPr>
      <t xml:space="preserve">段の構造。</t>
    </r>
    <r>
      <rPr>
        <sz val="10"/>
        <color rgb="FF1E2126"/>
        <rFont val="Meiryo UI"/>
        <family val="0"/>
        <charset val="1"/>
      </rPr>
      <t xml:space="preserve">1</t>
    </r>
    <r>
      <rPr>
        <sz val="10"/>
        <color rgb="FF1E2126"/>
        <rFont val="WenQuanYi Zen Hei"/>
        <family val="2"/>
      </rPr>
      <t xml:space="preserve">段目「表面の問題」、</t>
    </r>
    <r>
      <rPr>
        <sz val="10"/>
        <color rgb="FF1E2126"/>
        <rFont val="Meiryo UI"/>
        <family val="0"/>
        <charset val="1"/>
      </rPr>
      <t xml:space="preserve">2</t>
    </r>
    <r>
      <rPr>
        <sz val="10"/>
        <color rgb="FF1E2126"/>
        <rFont val="WenQuanYi Zen Hei"/>
        <family val="2"/>
      </rPr>
      <t xml:space="preserve">段目「業務への影響」を表示し、</t>
    </r>
    <r>
      <rPr>
        <sz val="10"/>
        <color rgb="FF1E2126"/>
        <rFont val="Meiryo UI"/>
        <family val="0"/>
        <charset val="1"/>
      </rPr>
      <t xml:space="preserve">3</t>
    </r>
    <r>
      <rPr>
        <sz val="10"/>
        <color rgb="FF1E2126"/>
        <rFont val="WenQuanYi Zen Hei"/>
        <family val="2"/>
      </rPr>
      <t xml:space="preserve">段目は「？」で伏せる</t>
    </r>
  </si>
  <si>
    <r>
      <rPr>
        <sz val="10"/>
        <color rgb="FF1E2126"/>
        <rFont val="Meiryo UI"/>
        <family val="0"/>
        <charset val="1"/>
      </rPr>
      <t xml:space="preserve">1</t>
    </r>
    <r>
      <rPr>
        <sz val="10"/>
        <color rgb="FF1E2126"/>
        <rFont val="WenQuanYi Zen Hei"/>
        <family val="2"/>
      </rPr>
      <t xml:space="preserve">段目は、ボトルを実際より多く数えてしまうこと。</t>
    </r>
    <r>
      <rPr>
        <sz val="10"/>
        <color rgb="FF1E2126"/>
        <rFont val="Meiryo UI"/>
        <family val="0"/>
        <charset val="1"/>
      </rPr>
      <t xml:space="preserve">2</t>
    </r>
    <r>
      <rPr>
        <sz val="10"/>
        <color rgb="FF1E2126"/>
        <rFont val="WenQuanYi Zen Hei"/>
        <family val="2"/>
      </rPr>
      <t xml:space="preserve">段目は、そのせいで確認し直しやライン停止が起き、品質管理の負担が増えていること。では</t>
    </r>
    <r>
      <rPr>
        <sz val="10"/>
        <color rgb="FF1E2126"/>
        <rFont val="Meiryo UI"/>
        <family val="0"/>
        <charset val="1"/>
      </rPr>
      <t xml:space="preserve">3</t>
    </r>
    <r>
      <rPr>
        <sz val="10"/>
        <color rgb="FF1E2126"/>
        <rFont val="WenQuanYi Zen Hei"/>
        <family val="2"/>
      </rPr>
      <t xml:space="preserve">段目、お客様が本当に実現したいことは何でしょう？皆さんの答えの中にありました。</t>
    </r>
  </si>
  <si>
    <r>
      <rPr>
        <sz val="10"/>
        <color rgb="FF1E2126"/>
        <rFont val="Meiryo UI"/>
        <family val="0"/>
        <charset val="1"/>
      </rPr>
      <t xml:space="preserve">3</t>
    </r>
    <r>
      <rPr>
        <sz val="10"/>
        <color rgb="FF1E2126"/>
        <rFont val="WenQuanYi Zen Hei"/>
        <family val="2"/>
      </rPr>
      <t xml:space="preserve">段目に入る言葉は何でしょう？</t>
    </r>
  </si>
  <si>
    <t xml:space="preserve">「安心して生産したい」「止まらないラインにしたい」</t>
  </si>
  <si>
    <r>
      <rPr>
        <sz val="10"/>
        <color rgb="FF1E2126"/>
        <rFont val="WenQuanYi Zen Hei"/>
        <family val="2"/>
      </rPr>
      <t xml:space="preserve">学生の言葉を使って</t>
    </r>
    <r>
      <rPr>
        <sz val="10"/>
        <color rgb="FF1E2126"/>
        <rFont val="Meiryo UI"/>
        <family val="0"/>
        <charset val="1"/>
      </rPr>
      <t xml:space="preserve">3</t>
    </r>
    <r>
      <rPr>
        <sz val="10"/>
        <color rgb="FF1E2126"/>
        <rFont val="WenQuanYi Zen Hei"/>
        <family val="2"/>
      </rPr>
      <t xml:space="preserve">段目を言ってもらう。言えたら次のスライドで答え合わせ。</t>
    </r>
  </si>
  <si>
    <t xml:space="preserve">佐藤さんは、価格より何が大事だと言っていましたか？</t>
  </si>
  <si>
    <t xml:space="preserve">佐藤さんに聞いてみましょう。</t>
  </si>
  <si>
    <r>
      <rPr>
        <sz val="10"/>
        <color rgb="FF1E2126"/>
        <rFont val="WenQuanYi Zen Hei"/>
        <family val="2"/>
      </rPr>
      <t xml:space="preserve">既存</t>
    </r>
    <r>
      <rPr>
        <sz val="10"/>
        <color rgb="FF1E2126"/>
        <rFont val="Meiryo UI"/>
        <family val="0"/>
        <charset val="1"/>
      </rPr>
      <t xml:space="preserve">36</t>
    </r>
    <r>
      <rPr>
        <sz val="10"/>
        <color rgb="FF1E2126"/>
        <rFont val="WenQuanYi Zen Hei"/>
        <family val="2"/>
      </rPr>
      <t xml:space="preserve">〜</t>
    </r>
    <r>
      <rPr>
        <sz val="10"/>
        <color rgb="FF1E2126"/>
        <rFont val="Meiryo UI"/>
        <family val="0"/>
        <charset val="1"/>
      </rPr>
      <t xml:space="preserve">38</t>
    </r>
  </si>
  <si>
    <r>
      <rPr>
        <sz val="10"/>
        <color rgb="FF1E2126"/>
        <rFont val="Meiryo UI"/>
        <family val="0"/>
        <charset val="1"/>
      </rPr>
      <t xml:space="preserve">3</t>
    </r>
    <r>
      <rPr>
        <sz val="10"/>
        <color rgb="FF1E2126"/>
        <rFont val="WenQuanYi Zen Hei"/>
        <family val="2"/>
      </rPr>
      <t xml:space="preserve">段目「安定した生産を続けたい」を表示し、佐藤さんの言葉</t>
    </r>
  </si>
  <si>
    <t xml:space="preserve">お客様が本当に実現したいのは、「安定した生産を続けること」でした。目の前の問題と、お客様が本当に実現したいことは違う。ここに気づけるかどうかが、営業の腕の見せどころです。</t>
  </si>
  <si>
    <t xml:space="preserve">自分たちの答えと比べて、どうでしたか？</t>
  </si>
  <si>
    <t xml:space="preserve">「近かった」「数が合えばいいと思っていた」</t>
  </si>
  <si>
    <t xml:space="preserve">近い答えを出したグループを名指しで褒める。</t>
  </si>
  <si>
    <t xml:space="preserve">これを、提案の判断基準として整理します。</t>
  </si>
  <si>
    <r>
      <rPr>
        <sz val="10"/>
        <color rgb="FF1E2126"/>
        <rFont val="WenQuanYi Zen Hei"/>
        <family val="2"/>
      </rPr>
      <t xml:space="preserve">既存</t>
    </r>
    <r>
      <rPr>
        <sz val="10"/>
        <color rgb="FF1E2126"/>
        <rFont val="Meiryo UI"/>
        <family val="0"/>
        <charset val="1"/>
      </rPr>
      <t xml:space="preserve">36</t>
    </r>
    <r>
      <rPr>
        <sz val="10"/>
        <color rgb="FF1E2126"/>
        <rFont val="WenQuanYi Zen Hei"/>
        <family val="2"/>
      </rPr>
      <t xml:space="preserve">・</t>
    </r>
    <r>
      <rPr>
        <sz val="10"/>
        <color rgb="FF1E2126"/>
        <rFont val="Meiryo UI"/>
        <family val="0"/>
        <charset val="1"/>
      </rPr>
      <t xml:space="preserve">37</t>
    </r>
  </si>
  <si>
    <r>
      <rPr>
        <sz val="10"/>
        <color rgb="FF1E2126"/>
        <rFont val="WenQuanYi Zen Hei"/>
        <family val="2"/>
      </rPr>
      <t xml:space="preserve">お客様の要求</t>
    </r>
    <r>
      <rPr>
        <sz val="10"/>
        <color rgb="FF1E2126"/>
        <rFont val="Meiryo UI"/>
        <family val="0"/>
        <charset val="1"/>
      </rPr>
      <t xml:space="preserve">3</t>
    </r>
    <r>
      <rPr>
        <sz val="10"/>
        <color rgb="FF1E2126"/>
        <rFont val="WenQuanYi Zen Hei"/>
        <family val="2"/>
      </rPr>
      <t xml:space="preserve">つと、それぞれの出どころ</t>
    </r>
  </si>
  <si>
    <r>
      <rPr>
        <sz val="10"/>
        <color rgb="FF1E2126"/>
        <rFont val="WenQuanYi Zen Hei"/>
        <family val="2"/>
      </rPr>
      <t xml:space="preserve">この</t>
    </r>
    <r>
      <rPr>
        <sz val="10"/>
        <color rgb="FF1E2126"/>
        <rFont val="Meiryo UI"/>
        <family val="0"/>
        <charset val="1"/>
      </rPr>
      <t xml:space="preserve">3</t>
    </r>
    <r>
      <rPr>
        <sz val="10"/>
        <color rgb="FF1E2126"/>
        <rFont val="WenQuanYi Zen Hei"/>
        <family val="2"/>
      </rPr>
      <t xml:space="preserve">つが、これから提案するときの判断基準です。</t>
    </r>
    <r>
      <rPr>
        <sz val="10"/>
        <color rgb="FF1E2126"/>
        <rFont val="Meiryo UI"/>
        <family val="0"/>
        <charset val="1"/>
      </rPr>
      <t xml:space="preserve">3</t>
    </r>
    <r>
      <rPr>
        <sz val="10"/>
        <color rgb="FF1E2126"/>
        <rFont val="WenQuanYi Zen Hei"/>
        <family val="2"/>
      </rPr>
      <t xml:space="preserve">つ目の「生産を止めずに」は、速度を下げる案や、交換するだけの案を出したときのお客様の反応から分かったことです。断られた選択肢にも、大事な情報が入っています。</t>
    </r>
  </si>
  <si>
    <t xml:space="preserve">いよいよ提案です。</t>
  </si>
  <si>
    <r>
      <rPr>
        <sz val="10"/>
        <color rgb="FF1E2126"/>
        <rFont val="WenQuanYi Zen Hei"/>
        <family val="2"/>
      </rPr>
      <t xml:space="preserve">既存</t>
    </r>
    <r>
      <rPr>
        <sz val="10"/>
        <color rgb="FF1E2126"/>
        <rFont val="Meiryo UI"/>
        <family val="0"/>
        <charset val="1"/>
      </rPr>
      <t xml:space="preserve">38</t>
    </r>
    <r>
      <rPr>
        <sz val="10"/>
        <color rgb="FF1E2126"/>
        <rFont val="WenQuanYi Zen Hei"/>
        <family val="2"/>
      </rPr>
      <t xml:space="preserve">・</t>
    </r>
    <r>
      <rPr>
        <sz val="10"/>
        <color rgb="FF1E2126"/>
        <rFont val="Meiryo UI"/>
        <family val="0"/>
        <charset val="1"/>
      </rPr>
      <t xml:space="preserve">25</t>
    </r>
    <r>
      <rPr>
        <sz val="10"/>
        <color rgb="FF1E2126"/>
        <rFont val="WenQuanYi Zen Hei"/>
        <family val="2"/>
      </rPr>
      <t xml:space="preserve">・</t>
    </r>
    <r>
      <rPr>
        <sz val="10"/>
        <color rgb="FF1E2126"/>
        <rFont val="Meiryo UI"/>
        <family val="0"/>
        <charset val="1"/>
      </rPr>
      <t xml:space="preserve">44</t>
    </r>
  </si>
  <si>
    <t xml:space="preserve">S31</t>
  </si>
  <si>
    <t xml:space="preserve">PROPOSAL</t>
  </si>
  <si>
    <t xml:space="preserve">最後は、皆さん自身の言葉で、お客様に提案してもらいます。</t>
  </si>
  <si>
    <r>
      <rPr>
        <sz val="10"/>
        <color rgb="FF1E2126"/>
        <rFont val="Meiryo UI"/>
        <family val="0"/>
        <charset val="1"/>
      </rPr>
      <t xml:space="preserve">6</t>
    </r>
    <r>
      <rPr>
        <sz val="10"/>
        <color rgb="FF1E2126"/>
        <rFont val="WenQuanYi Zen Hei"/>
        <family val="2"/>
      </rPr>
      <t xml:space="preserve">ステップ。</t>
    </r>
    <r>
      <rPr>
        <sz val="10"/>
        <color rgb="FF1E2126"/>
        <rFont val="Meiryo UI"/>
        <family val="0"/>
        <charset val="1"/>
      </rPr>
      <t xml:space="preserve">1</t>
    </r>
    <r>
      <rPr>
        <sz val="10"/>
        <color rgb="FF1E2126"/>
        <rFont val="WenQuanYi Zen Hei"/>
        <family val="2"/>
      </rPr>
      <t xml:space="preserve">〜</t>
    </r>
    <r>
      <rPr>
        <sz val="10"/>
        <color rgb="FF1E2126"/>
        <rFont val="Meiryo UI"/>
        <family val="0"/>
        <charset val="1"/>
      </rPr>
      <t xml:space="preserve">3</t>
    </r>
    <r>
      <rPr>
        <sz val="10"/>
        <color rgb="FF1E2126"/>
        <rFont val="WenQuanYi Zen Hei"/>
        <family val="2"/>
      </rPr>
      <t xml:space="preserve">は完了済み</t>
    </r>
  </si>
  <si>
    <r>
      <rPr>
        <sz val="10"/>
        <color rgb="FF1E2126"/>
        <rFont val="Meiryo UI"/>
        <family val="0"/>
        <charset val="1"/>
      </rPr>
      <t xml:space="preserve">1</t>
    </r>
    <r>
      <rPr>
        <sz val="10"/>
        <color rgb="FF1E2126"/>
        <rFont val="WenQuanYi Zen Hei"/>
        <family val="2"/>
      </rPr>
      <t xml:space="preserve">から</t>
    </r>
    <r>
      <rPr>
        <sz val="10"/>
        <color rgb="FF1E2126"/>
        <rFont val="Meiryo UI"/>
        <family val="0"/>
        <charset val="1"/>
      </rPr>
      <t xml:space="preserve">3</t>
    </r>
    <r>
      <rPr>
        <sz val="10"/>
        <color rgb="FF1E2126"/>
        <rFont val="WenQuanYi Zen Hei"/>
        <family val="2"/>
      </rPr>
      <t xml:space="preserve">は、ここまでで皆さんがやってきたことです。残りは、候補の技術を紹介し、確かめ方を決めて、お客様と合意することです。</t>
    </r>
  </si>
  <si>
    <r>
      <rPr>
        <sz val="10"/>
        <color rgb="FF1E2126"/>
        <rFont val="WenQuanYi Zen Hei"/>
        <family val="2"/>
      </rPr>
      <t xml:space="preserve">提案の候補は、</t>
    </r>
    <r>
      <rPr>
        <sz val="10"/>
        <color rgb="FF1E2126"/>
        <rFont val="Meiryo UI"/>
        <family val="0"/>
        <charset val="1"/>
      </rPr>
      <t xml:space="preserve">OPTEX-FA</t>
    </r>
    <r>
      <rPr>
        <sz val="10"/>
        <color rgb="FF1E2126"/>
        <rFont val="WenQuanYi Zen Hei"/>
        <family val="2"/>
      </rPr>
      <t xml:space="preserve">のこのセンサです。</t>
    </r>
  </si>
  <si>
    <r>
      <rPr>
        <sz val="10"/>
        <color rgb="FF1E2126"/>
        <rFont val="WenQuanYi Zen Hei"/>
        <family val="2"/>
      </rPr>
      <t xml:space="preserve">見せるだけなら</t>
    </r>
    <r>
      <rPr>
        <sz val="10"/>
        <color rgb="FF1E2126"/>
        <rFont val="Meiryo UI"/>
        <family val="0"/>
        <charset val="1"/>
      </rPr>
      <t xml:space="preserve">15</t>
    </r>
    <r>
      <rPr>
        <sz val="10"/>
        <color rgb="FF1E2126"/>
        <rFont val="WenQuanYi Zen Hei"/>
        <family val="2"/>
      </rPr>
      <t xml:space="preserve">秒</t>
    </r>
  </si>
  <si>
    <r>
      <rPr>
        <sz val="10"/>
        <color rgb="FF1E2126"/>
        <rFont val="WenQuanYi Zen Hei"/>
        <family val="2"/>
      </rPr>
      <t xml:space="preserve">既存</t>
    </r>
    <r>
      <rPr>
        <sz val="10"/>
        <color rgb="FF1E2126"/>
        <rFont val="Meiryo UI"/>
        <family val="0"/>
        <charset val="1"/>
      </rPr>
      <t xml:space="preserve">39</t>
    </r>
  </si>
  <si>
    <r>
      <rPr>
        <sz val="10"/>
        <color rgb="FF1E2126"/>
        <rFont val="Meiryo UI"/>
        <family val="0"/>
        <charset val="1"/>
      </rPr>
      <t xml:space="preserve">KR-Q</t>
    </r>
    <r>
      <rPr>
        <sz val="10"/>
        <color rgb="FF1E2126"/>
        <rFont val="WenQuanYi Zen Hei"/>
        <family val="2"/>
      </rPr>
      <t xml:space="preserve">シリーズの確認済みの情報</t>
    </r>
    <r>
      <rPr>
        <sz val="10"/>
        <color rgb="FF1E2126"/>
        <rFont val="Meiryo UI"/>
        <family val="0"/>
        <charset val="1"/>
      </rPr>
      <t xml:space="preserve">3</t>
    </r>
    <r>
      <rPr>
        <sz val="10"/>
        <color rgb="FF1E2126"/>
        <rFont val="WenQuanYi Zen Hei"/>
        <family val="2"/>
      </rPr>
      <t xml:space="preserve">つと、提案の考え方。仕様の数値は載せない</t>
    </r>
  </si>
  <si>
    <r>
      <rPr>
        <sz val="10"/>
        <color rgb="FF1E2126"/>
        <rFont val="Meiryo UI"/>
        <family val="0"/>
        <charset val="1"/>
      </rPr>
      <t xml:space="preserve">OPTEX-FA</t>
    </r>
    <r>
      <rPr>
        <sz val="10"/>
        <color rgb="FF1E2126"/>
        <rFont val="WenQuanYi Zen Hei"/>
        <family val="2"/>
      </rPr>
      <t xml:space="preserve">には、透明な物の検出に向けた</t>
    </r>
    <r>
      <rPr>
        <sz val="10"/>
        <color rgb="FF1E2126"/>
        <rFont val="Meiryo UI"/>
        <family val="0"/>
        <charset val="1"/>
      </rPr>
      <t xml:space="preserve">KR-Q</t>
    </r>
    <r>
      <rPr>
        <sz val="10"/>
        <color rgb="FF1E2126"/>
        <rFont val="WenQuanYi Zen Hei"/>
        <family val="2"/>
      </rPr>
      <t xml:space="preserve">シリーズがあります。方式は今のセンサと同じ回帰反射型です。ただし、「これに替えれば必ず直る」とは言いません。お客様のボトルとラインで確かめることが大切です。</t>
    </r>
  </si>
  <si>
    <r>
      <rPr>
        <sz val="10"/>
        <color rgb="FF1E2126"/>
        <rFont val="Meiryo UI"/>
        <family val="0"/>
        <charset val="1"/>
      </rPr>
      <t xml:space="preserve">IMAGE_PLACEHOLDER_04</t>
    </r>
    <r>
      <rPr>
        <sz val="10"/>
        <color rgb="FF1E2126"/>
        <rFont val="WenQuanYi Zen Hei"/>
        <family val="2"/>
      </rPr>
      <t xml:space="preserve">（</t>
    </r>
    <r>
      <rPr>
        <sz val="10"/>
        <color rgb="FF1E2126"/>
        <rFont val="Meiryo UI"/>
        <family val="0"/>
        <charset val="1"/>
      </rPr>
      <t xml:space="preserve">OPTEX-FA</t>
    </r>
    <r>
      <rPr>
        <sz val="10"/>
        <color rgb="FF1E2126"/>
        <rFont val="WenQuanYi Zen Hei"/>
        <family val="2"/>
      </rPr>
      <t xml:space="preserve">製品・検出原理）
</t>
    </r>
    <r>
      <rPr>
        <sz val="10"/>
        <color rgb="FF1E2126"/>
        <rFont val="Meiryo UI"/>
        <family val="0"/>
        <charset val="1"/>
      </rPr>
      <t xml:space="preserve">VIDEO_PLACEHOLDER_03</t>
    </r>
    <r>
      <rPr>
        <sz val="10"/>
        <color rgb="FF1E2126"/>
        <rFont val="WenQuanYi Zen Hei"/>
        <family val="2"/>
      </rPr>
      <t xml:space="preserve">（映像③　検出原理（既設と</t>
    </r>
    <r>
      <rPr>
        <sz val="10"/>
        <color rgb="FF1E2126"/>
        <rFont val="Meiryo UI"/>
        <family val="0"/>
        <charset val="1"/>
      </rPr>
      <t xml:space="preserve">KR-Q</t>
    </r>
    <r>
      <rPr>
        <sz val="10"/>
        <color rgb="FF1E2126"/>
        <rFont val="WenQuanYi Zen Hei"/>
        <family val="2"/>
      </rPr>
      <t xml:space="preserve">シリーズ））</t>
    </r>
  </si>
  <si>
    <t xml:space="preserve">どうやって確かめるかも決めておきましょう。</t>
  </si>
  <si>
    <t xml:space="preserve">仕様の説明はしない（公式資料の照合前のため）</t>
  </si>
  <si>
    <r>
      <rPr>
        <sz val="10"/>
        <color rgb="FF1E2126"/>
        <rFont val="WenQuanYi Zen Hei"/>
        <family val="2"/>
      </rPr>
      <t xml:space="preserve">既存</t>
    </r>
    <r>
      <rPr>
        <sz val="10"/>
        <color rgb="FF1E2126"/>
        <rFont val="Meiryo UI"/>
        <family val="0"/>
        <charset val="1"/>
      </rPr>
      <t xml:space="preserve">39</t>
    </r>
    <r>
      <rPr>
        <sz val="10"/>
        <color rgb="FF1E2126"/>
        <rFont val="WenQuanYi Zen Hei"/>
        <family val="2"/>
      </rPr>
      <t xml:space="preserve">・</t>
    </r>
    <r>
      <rPr>
        <sz val="10"/>
        <color rgb="FF1E2126"/>
        <rFont val="Meiryo UI"/>
        <family val="0"/>
        <charset val="1"/>
      </rPr>
      <t xml:space="preserve">45</t>
    </r>
  </si>
  <si>
    <t xml:space="preserve">同じにする条件・変える条件・記録すること・合格の基準（試す前に決める）。左に設置図</t>
  </si>
  <si>
    <r>
      <rPr>
        <sz val="10"/>
        <color rgb="FF1E2126"/>
        <rFont val="WenQuanYi Zen Hei"/>
        <family val="2"/>
      </rPr>
      <t xml:space="preserve">既設のセンサと</t>
    </r>
    <r>
      <rPr>
        <sz val="10"/>
        <color rgb="FF1E2126"/>
        <rFont val="Meiryo UI"/>
        <family val="0"/>
        <charset val="1"/>
      </rPr>
      <t xml:space="preserve">KR-Q</t>
    </r>
    <r>
      <rPr>
        <sz val="10"/>
        <color rgb="FF1E2126"/>
        <rFont val="WenQuanYi Zen Hei"/>
        <family val="2"/>
      </rPr>
      <t xml:space="preserve">シリーズを、同じ条件で比べます。大事なのは、合格の基準を試す前にお客様と決めておくことです。後から基準を変えると、お客様は結果を信じられません。</t>
    </r>
  </si>
  <si>
    <t xml:space="preserve">デモで確認すべきことは、センサの見た目でしょうか、それとも？</t>
  </si>
  <si>
    <t xml:space="preserve">「本数とカウントが合うか」</t>
  </si>
  <si>
    <t xml:space="preserve">「お客様が困っていたのは何だったか」に戻って考えた人を評価する。</t>
  </si>
  <si>
    <t xml:space="preserve">中田さん「お客様が困っていたのは、何でしたか？」</t>
  </si>
  <si>
    <r>
      <rPr>
        <sz val="10"/>
        <color rgb="FF1E2126"/>
        <rFont val="Meiryo UI"/>
        <family val="0"/>
        <charset val="1"/>
      </rPr>
      <t xml:space="preserve">IMAGE_PLACEHOLDER_07</t>
    </r>
    <r>
      <rPr>
        <sz val="10"/>
        <color rgb="FF1E2126"/>
        <rFont val="WenQuanYi Zen Hei"/>
        <family val="2"/>
      </rPr>
      <t xml:space="preserve">（比較検証の設置図）</t>
    </r>
  </si>
  <si>
    <t xml:space="preserve">材料はそろいました。皆さんの提案をつくりましょう。</t>
  </si>
  <si>
    <r>
      <rPr>
        <sz val="10"/>
        <color rgb="FF1E2126"/>
        <rFont val="WenQuanYi Zen Hei"/>
        <family val="2"/>
      </rPr>
      <t xml:space="preserve">問いかけを省けば</t>
    </r>
    <r>
      <rPr>
        <sz val="10"/>
        <color rgb="FF1E2126"/>
        <rFont val="Meiryo UI"/>
        <family val="0"/>
        <charset val="1"/>
      </rPr>
      <t xml:space="preserve">30</t>
    </r>
    <r>
      <rPr>
        <sz val="10"/>
        <color rgb="FF1E2126"/>
        <rFont val="WenQuanYi Zen Hei"/>
        <family val="2"/>
      </rPr>
      <t xml:space="preserve">秒</t>
    </r>
  </si>
  <si>
    <r>
      <rPr>
        <sz val="10"/>
        <color rgb="FF1E2126"/>
        <rFont val="WenQuanYi Zen Hei"/>
        <family val="2"/>
      </rPr>
      <t xml:space="preserve">既存</t>
    </r>
    <r>
      <rPr>
        <sz val="10"/>
        <color rgb="FF1E2126"/>
        <rFont val="Meiryo UI"/>
        <family val="0"/>
        <charset val="1"/>
      </rPr>
      <t xml:space="preserve">46</t>
    </r>
    <r>
      <rPr>
        <sz val="10"/>
        <color rgb="FF1E2126"/>
        <rFont val="WenQuanYi Zen Hei"/>
        <family val="2"/>
      </rPr>
      <t xml:space="preserve">〜</t>
    </r>
    <r>
      <rPr>
        <sz val="10"/>
        <color rgb="FF1E2126"/>
        <rFont val="Meiryo UI"/>
        <family val="0"/>
        <charset val="1"/>
      </rPr>
      <t xml:space="preserve">52</t>
    </r>
    <r>
      <rPr>
        <sz val="10"/>
        <color rgb="FF1E2126"/>
        <rFont val="WenQuanYi Zen Hei"/>
        <family val="2"/>
      </rPr>
      <t xml:space="preserve">・</t>
    </r>
    <r>
      <rPr>
        <sz val="10"/>
        <color rgb="FF1E2126"/>
        <rFont val="Meiryo UI"/>
        <family val="0"/>
        <charset val="1"/>
      </rPr>
      <t xml:space="preserve">65</t>
    </r>
    <r>
      <rPr>
        <sz val="10"/>
        <color rgb="FF1E2126"/>
        <rFont val="WenQuanYi Zen Hei"/>
        <family val="2"/>
      </rPr>
      <t xml:space="preserve">〜</t>
    </r>
    <r>
      <rPr>
        <sz val="10"/>
        <color rgb="FF1E2126"/>
        <rFont val="Meiryo UI"/>
        <family val="0"/>
        <charset val="1"/>
      </rPr>
      <t xml:space="preserve">68</t>
    </r>
  </si>
  <si>
    <r>
      <rPr>
        <sz val="10"/>
        <color rgb="FF1E2126"/>
        <rFont val="Meiryo UI"/>
        <family val="0"/>
        <charset val="1"/>
      </rPr>
      <t xml:space="preserve">3</t>
    </r>
    <r>
      <rPr>
        <sz val="10"/>
        <color rgb="FF1E2126"/>
        <rFont val="WenQuanYi Zen Hei"/>
        <family val="2"/>
      </rPr>
      <t xml:space="preserve">つの問い、提案の型（穴埋め）、時間配分</t>
    </r>
  </si>
  <si>
    <r>
      <rPr>
        <sz val="10"/>
        <color rgb="FF1E2126"/>
        <rFont val="WenQuanYi Zen Hei"/>
        <family val="2"/>
      </rPr>
      <t xml:space="preserve">提案の型を使って構いません。製品の説明ではなく、お客様が「それならやってみたい」と思える提案を目指してください。発表は</t>
    </r>
    <r>
      <rPr>
        <sz val="10"/>
        <color rgb="FF1E2126"/>
        <rFont val="Meiryo UI"/>
        <family val="0"/>
        <charset val="1"/>
      </rPr>
      <t xml:space="preserve">1</t>
    </r>
    <r>
      <rPr>
        <sz val="10"/>
        <color rgb="FF1E2126"/>
        <rFont val="WenQuanYi Zen Hei"/>
        <family val="2"/>
      </rPr>
      <t xml:space="preserve">グループ</t>
    </r>
    <r>
      <rPr>
        <sz val="10"/>
        <color rgb="FF1E2126"/>
        <rFont val="Meiryo UI"/>
        <family val="0"/>
        <charset val="1"/>
      </rPr>
      <t xml:space="preserve">90</t>
    </r>
    <r>
      <rPr>
        <sz val="10"/>
        <color rgb="FF1E2126"/>
        <rFont val="WenQuanYi Zen Hei"/>
        <family val="2"/>
      </rPr>
      <t xml:space="preserve">秒です。</t>
    </r>
  </si>
  <si>
    <r>
      <rPr>
        <sz val="10"/>
        <color rgb="FF1E2126"/>
        <rFont val="Meiryo UI"/>
        <family val="0"/>
        <charset val="1"/>
      </rPr>
      <t xml:space="preserve">3</t>
    </r>
    <r>
      <rPr>
        <sz val="10"/>
        <color rgb="FF1E2126"/>
        <rFont val="WenQuanYi Zen Hei"/>
        <family val="2"/>
      </rPr>
      <t xml:space="preserve">つの問いに答えて、提案をまとめてください。</t>
    </r>
  </si>
  <si>
    <r>
      <rPr>
        <sz val="10"/>
        <color rgb="FF1E2126"/>
        <rFont val="WenQuanYi Zen Hei"/>
        <family val="2"/>
      </rPr>
      <t xml:space="preserve">「困っているのは確認とライン停止の負担。</t>
    </r>
    <r>
      <rPr>
        <sz val="10"/>
        <color rgb="FF1E2126"/>
        <rFont val="Meiryo UI"/>
        <family val="0"/>
        <charset val="1"/>
      </rPr>
      <t xml:space="preserve">KR-Q</t>
    </r>
    <r>
      <rPr>
        <sz val="10"/>
        <color rgb="FF1E2126"/>
        <rFont val="WenQuanYi Zen Hei"/>
        <family val="2"/>
      </rPr>
      <t xml:space="preserve">シリーズを提案。透明なボトル向けだから。まず実際のボトルで比べたい」</t>
    </r>
  </si>
  <si>
    <t xml:space="preserve">机間巡視で「次に何を確認するか」が抜けているグループに声をかける。</t>
  </si>
  <si>
    <r>
      <rPr>
        <sz val="10"/>
        <color rgb="FF1E2126"/>
        <rFont val="Meiryo UI"/>
        <family val="0"/>
        <charset val="1"/>
      </rPr>
      <t xml:space="preserve">S30</t>
    </r>
    <r>
      <rPr>
        <sz val="10"/>
        <color rgb="FF1E2126"/>
        <rFont val="WenQuanYi Zen Hei"/>
        <family val="2"/>
      </rPr>
      <t xml:space="preserve">の</t>
    </r>
    <r>
      <rPr>
        <sz val="10"/>
        <color rgb="FF1E2126"/>
        <rFont val="Meiryo UI"/>
        <family val="0"/>
        <charset val="1"/>
      </rPr>
      <t xml:space="preserve">3</t>
    </r>
    <r>
      <rPr>
        <sz val="10"/>
        <color rgb="FF1E2126"/>
        <rFont val="WenQuanYi Zen Hei"/>
        <family val="2"/>
      </rPr>
      <t xml:space="preserve">つの要求と、</t>
    </r>
    <r>
      <rPr>
        <sz val="10"/>
        <color rgb="FF1E2126"/>
        <rFont val="Meiryo UI"/>
        <family val="0"/>
        <charset val="1"/>
      </rPr>
      <t xml:space="preserve">S34</t>
    </r>
    <r>
      <rPr>
        <sz val="10"/>
        <color rgb="FF1E2126"/>
        <rFont val="WenQuanYi Zen Hei"/>
        <family val="2"/>
      </rPr>
      <t xml:space="preserve">の検証計画を見返してみましょう。</t>
    </r>
  </si>
  <si>
    <t xml:space="preserve">では、お客様に提案してみましょう。</t>
  </si>
  <si>
    <r>
      <rPr>
        <sz val="10"/>
        <color rgb="FF1E2126"/>
        <rFont val="WenQuanYi Zen Hei"/>
        <family val="2"/>
      </rPr>
      <t xml:space="preserve">指示書の推奨は「考える</t>
    </r>
    <r>
      <rPr>
        <sz val="10"/>
        <color rgb="FF1E2126"/>
        <rFont val="Meiryo UI"/>
        <family val="0"/>
        <charset val="1"/>
      </rPr>
      <t xml:space="preserve">3</t>
    </r>
    <r>
      <rPr>
        <sz val="10"/>
        <color rgb="FF1E2126"/>
        <rFont val="WenQuanYi Zen Hei"/>
        <family val="2"/>
      </rPr>
      <t xml:space="preserve">分＋まとめる</t>
    </r>
    <r>
      <rPr>
        <sz val="10"/>
        <color rgb="FF1E2126"/>
        <rFont val="Meiryo UI"/>
        <family val="0"/>
        <charset val="1"/>
      </rPr>
      <t xml:space="preserve">4</t>
    </r>
    <r>
      <rPr>
        <sz val="10"/>
        <color rgb="FF1E2126"/>
        <rFont val="WenQuanYi Zen Hei"/>
        <family val="2"/>
      </rPr>
      <t xml:space="preserve">分」。時間に余裕があれば</t>
    </r>
    <r>
      <rPr>
        <sz val="10"/>
        <color rgb="FF1E2126"/>
        <rFont val="Meiryo UI"/>
        <family val="0"/>
        <charset val="1"/>
      </rPr>
      <t xml:space="preserve">7</t>
    </r>
    <r>
      <rPr>
        <sz val="10"/>
        <color rgb="FF1E2126"/>
        <rFont val="WenQuanYi Zen Hei"/>
        <family val="2"/>
      </rPr>
      <t xml:space="preserve">分に延ばす</t>
    </r>
  </si>
  <si>
    <r>
      <rPr>
        <sz val="10"/>
        <color rgb="FF1E2126"/>
        <rFont val="WenQuanYi Zen Hei"/>
        <family val="2"/>
      </rPr>
      <t xml:space="preserve">既存</t>
    </r>
    <r>
      <rPr>
        <sz val="10"/>
        <color rgb="FF1E2126"/>
        <rFont val="Meiryo UI"/>
        <family val="0"/>
        <charset val="1"/>
      </rPr>
      <t xml:space="preserve">40</t>
    </r>
    <r>
      <rPr>
        <sz val="10"/>
        <color rgb="FF1E2126"/>
        <rFont val="WenQuanYi Zen Hei"/>
        <family val="2"/>
      </rPr>
      <t xml:space="preserve">・</t>
    </r>
    <r>
      <rPr>
        <sz val="10"/>
        <color rgb="FF1E2126"/>
        <rFont val="Meiryo UI"/>
        <family val="0"/>
        <charset val="1"/>
      </rPr>
      <t xml:space="preserve">41</t>
    </r>
    <r>
      <rPr>
        <sz val="10"/>
        <color rgb="FF1E2126"/>
        <rFont val="WenQuanYi Zen Hei"/>
        <family val="2"/>
      </rPr>
      <t xml:space="preserve">（</t>
    </r>
    <r>
      <rPr>
        <sz val="10"/>
        <color rgb="FF1E2126"/>
        <rFont val="Meiryo UI"/>
        <family val="0"/>
        <charset val="1"/>
      </rPr>
      <t xml:space="preserve">3</t>
    </r>
    <r>
      <rPr>
        <sz val="10"/>
        <color rgb="FF1E2126"/>
        <rFont val="WenQuanYi Zen Hei"/>
        <family val="2"/>
      </rPr>
      <t xml:space="preserve">択→模擬提案）</t>
    </r>
  </si>
  <si>
    <t xml:space="preserve">S36</t>
  </si>
  <si>
    <t xml:space="preserve">グループ発表</t>
  </si>
  <si>
    <r>
      <rPr>
        <sz val="10"/>
        <color rgb="FF1E2126"/>
        <rFont val="WenQuanYi Zen Hei"/>
        <family val="2"/>
      </rPr>
      <t xml:space="preserve">発表のルールと、お客様役が聞いているポイント</t>
    </r>
    <r>
      <rPr>
        <sz val="10"/>
        <color rgb="FF1E2126"/>
        <rFont val="Meiryo UI"/>
        <family val="0"/>
        <charset val="1"/>
      </rPr>
      <t xml:space="preserve">3</t>
    </r>
    <r>
      <rPr>
        <sz val="10"/>
        <color rgb="FF1E2126"/>
        <rFont val="WenQuanYi Zen Hei"/>
        <family val="2"/>
      </rPr>
      <t xml:space="preserve">つ</t>
    </r>
  </si>
  <si>
    <r>
      <rPr>
        <sz val="10"/>
        <color rgb="FF1E2126"/>
        <rFont val="WenQuanYi Zen Hei"/>
        <family val="2"/>
      </rPr>
      <t xml:space="preserve">お客様役は、佐藤さん・高橋さん役の社員です。お客様役は、この</t>
    </r>
    <r>
      <rPr>
        <sz val="10"/>
        <color rgb="FF1E2126"/>
        <rFont val="Meiryo UI"/>
        <family val="0"/>
        <charset val="1"/>
      </rPr>
      <t xml:space="preserve">3</t>
    </r>
    <r>
      <rPr>
        <sz val="10"/>
        <color rgb="FF1E2126"/>
        <rFont val="WenQuanYi Zen Hei"/>
        <family val="2"/>
      </rPr>
      <t xml:space="preserve">つのポイントで聞いています。</t>
    </r>
  </si>
  <si>
    <t xml:space="preserve">（お客様役）発表を聞いて、お客様として率直に反応する。</t>
  </si>
  <si>
    <t xml:space="preserve">「すぐ交換しましょう」型の提案も出る</t>
  </si>
  <si>
    <r>
      <rPr>
        <sz val="10"/>
        <color rgb="FF1E2126"/>
        <rFont val="Meiryo UI"/>
        <family val="0"/>
        <charset val="1"/>
      </rPr>
      <t xml:space="preserve">3</t>
    </r>
    <r>
      <rPr>
        <sz val="10"/>
        <color rgb="FF1E2126"/>
        <rFont val="WenQuanYi Zen Hei"/>
        <family val="2"/>
      </rPr>
      <t xml:space="preserve">つのポイントで</t>
    </r>
    <r>
      <rPr>
        <sz val="10"/>
        <color rgb="FF1E2126"/>
        <rFont val="Meiryo UI"/>
        <family val="0"/>
        <charset val="1"/>
      </rPr>
      <t xml:space="preserve">1</t>
    </r>
    <r>
      <rPr>
        <sz val="10"/>
        <color rgb="FF1E2126"/>
        <rFont val="WenQuanYi Zen Hei"/>
        <family val="2"/>
      </rPr>
      <t xml:space="preserve">つずつ良い点を伝え、足りない点は「お客様としては、ここが知りたい」と質問の形で返す。正解かどうかでは評価しない。「交換しましょう」型には「交換して直らなかったら…」と、お客様の不安を返す。</t>
    </r>
  </si>
  <si>
    <r>
      <rPr>
        <sz val="10"/>
        <color rgb="FF1E2126"/>
        <rFont val="WenQuanYi Zen Hei"/>
        <family val="2"/>
      </rPr>
      <t xml:space="preserve">詰まったら、提案の型の</t>
    </r>
    <r>
      <rPr>
        <sz val="10"/>
        <color rgb="FF1E2126"/>
        <rFont val="Meiryo UI"/>
        <family val="0"/>
        <charset val="1"/>
      </rPr>
      <t xml:space="preserve">1</t>
    </r>
    <r>
      <rPr>
        <sz val="10"/>
        <color rgb="FF1E2126"/>
        <rFont val="WenQuanYi Zen Hei"/>
        <family val="2"/>
      </rPr>
      <t xml:space="preserve">行目だけ読んでもらう。</t>
    </r>
  </si>
  <si>
    <t xml:space="preserve">皆さんの提案を聞いた佐藤さんの反応です。</t>
  </si>
  <si>
    <r>
      <rPr>
        <sz val="10"/>
        <color rgb="FF1E2126"/>
        <rFont val="WenQuanYi Zen Hei"/>
        <family val="2"/>
      </rPr>
      <t xml:space="preserve">標準</t>
    </r>
    <r>
      <rPr>
        <sz val="10"/>
        <color rgb="FF1E2126"/>
        <rFont val="Meiryo UI"/>
        <family val="0"/>
        <charset val="1"/>
      </rPr>
      <t xml:space="preserve">2</t>
    </r>
    <r>
      <rPr>
        <sz val="10"/>
        <color rgb="FF1E2126"/>
        <rFont val="WenQuanYi Zen Hei"/>
        <family val="2"/>
      </rPr>
      <t xml:space="preserve">グループ（</t>
    </r>
    <r>
      <rPr>
        <sz val="10"/>
        <color rgb="FF1E2126"/>
        <rFont val="Meiryo UI"/>
        <family val="0"/>
        <charset val="1"/>
      </rPr>
      <t xml:space="preserve">3</t>
    </r>
    <r>
      <rPr>
        <sz val="10"/>
        <color rgb="FF1E2126"/>
        <rFont val="WenQuanYi Zen Hei"/>
        <family val="2"/>
      </rPr>
      <t xml:space="preserve">分＋反応</t>
    </r>
    <r>
      <rPr>
        <sz val="10"/>
        <color rgb="FF1E2126"/>
        <rFont val="Meiryo UI"/>
        <family val="0"/>
        <charset val="1"/>
      </rPr>
      <t xml:space="preserve">1</t>
    </r>
    <r>
      <rPr>
        <sz val="10"/>
        <color rgb="FF1E2126"/>
        <rFont val="WenQuanYi Zen Hei"/>
        <family val="2"/>
      </rPr>
      <t xml:space="preserve">分）。</t>
    </r>
    <r>
      <rPr>
        <sz val="10"/>
        <color rgb="FF1E2126"/>
        <rFont val="Meiryo UI"/>
        <family val="0"/>
        <charset val="1"/>
      </rPr>
      <t xml:space="preserve">3</t>
    </r>
    <r>
      <rPr>
        <sz val="10"/>
        <color rgb="FF1E2126"/>
        <rFont val="WenQuanYi Zen Hei"/>
        <family val="2"/>
      </rPr>
      <t xml:space="preserve">グループなら</t>
    </r>
    <r>
      <rPr>
        <sz val="10"/>
        <color rgb="FF1E2126"/>
        <rFont val="Meiryo UI"/>
        <family val="0"/>
        <charset val="1"/>
      </rPr>
      <t xml:space="preserve">+2</t>
    </r>
    <r>
      <rPr>
        <sz val="10"/>
        <color rgb="FF1E2126"/>
        <rFont val="WenQuanYi Zen Hei"/>
        <family val="2"/>
      </rPr>
      <t xml:space="preserve">分、ほかの省略候補で調整</t>
    </r>
  </si>
  <si>
    <r>
      <rPr>
        <sz val="10"/>
        <color rgb="FF1E2126"/>
        <rFont val="WenQuanYi Zen Hei"/>
        <family val="2"/>
      </rPr>
      <t xml:space="preserve">映像④（</t>
    </r>
    <r>
      <rPr>
        <sz val="10"/>
        <color rgb="FF1E2126"/>
        <rFont val="Meiryo UI"/>
        <family val="0"/>
        <charset val="1"/>
      </rPr>
      <t xml:space="preserve">30</t>
    </r>
    <r>
      <rPr>
        <sz val="10"/>
        <color rgb="FF1E2126"/>
        <rFont val="WenQuanYi Zen Hei"/>
        <family val="2"/>
      </rPr>
      <t xml:space="preserve">秒以内）。営業の提案と、お客様の反応（演習用の台詞）</t>
    </r>
  </si>
  <si>
    <t xml:space="preserve">皆さんの提案に共通していた「まず確かめる」に、佐藤さんはこう答えてくれました。お客様が前向きになったのは、製品の性能を聞いたからではなく、自分たちの困りごとを理解してもらえたからです。</t>
  </si>
  <si>
    <t xml:space="preserve">「確かめる」が入っていなかったグループがあれば、「この一言があると、お客様はこう変わる」と、そのグループの提案に足して見せる。</t>
  </si>
  <si>
    <r>
      <rPr>
        <sz val="10"/>
        <color rgb="FF1E2126"/>
        <rFont val="Meiryo UI"/>
        <family val="0"/>
        <charset val="1"/>
      </rPr>
      <t xml:space="preserve">VIDEO_PLACEHOLDER_04</t>
    </r>
    <r>
      <rPr>
        <sz val="10"/>
        <color rgb="FF1E2126"/>
        <rFont val="WenQuanYi Zen Hei"/>
        <family val="2"/>
      </rPr>
      <t xml:space="preserve">（映像④　顧客との対話（反応））
</t>
    </r>
    <r>
      <rPr>
        <sz val="10"/>
        <color rgb="FF1E2126"/>
        <rFont val="Meiryo UI"/>
        <family val="0"/>
        <charset val="1"/>
      </rPr>
      <t xml:space="preserve">IMAGE_PLACEHOLDER_05</t>
    </r>
    <r>
      <rPr>
        <sz val="10"/>
        <color rgb="FF1E2126"/>
        <rFont val="WenQuanYi Zen Hei"/>
        <family val="2"/>
      </rPr>
      <t xml:space="preserve">（顧客と営業担当者の対話）</t>
    </r>
  </si>
  <si>
    <t xml:space="preserve">そして、お客様から次の一歩を任されました。</t>
  </si>
  <si>
    <t xml:space="preserve">省略不可（達成感の場面）。必ず学生の発表のあとに見せる</t>
  </si>
  <si>
    <r>
      <rPr>
        <sz val="10"/>
        <color rgb="FF1E2126"/>
        <rFont val="WenQuanYi Zen Hei"/>
        <family val="2"/>
      </rPr>
      <t xml:space="preserve">既存</t>
    </r>
    <r>
      <rPr>
        <sz val="10"/>
        <color rgb="FF1E2126"/>
        <rFont val="Meiryo UI"/>
        <family val="0"/>
        <charset val="1"/>
      </rPr>
      <t xml:space="preserve">43</t>
    </r>
    <r>
      <rPr>
        <sz val="10"/>
        <color rgb="FF1E2126"/>
        <rFont val="WenQuanYi Zen Hei"/>
        <family val="2"/>
      </rPr>
      <t xml:space="preserve">・</t>
    </r>
    <r>
      <rPr>
        <sz val="10"/>
        <color rgb="FF1E2126"/>
        <rFont val="Meiryo UI"/>
        <family val="0"/>
        <charset val="1"/>
      </rPr>
      <t xml:space="preserve">56</t>
    </r>
    <r>
      <rPr>
        <sz val="10"/>
        <color rgb="FF1E2126"/>
        <rFont val="WenQuanYi Zen Hei"/>
        <family val="2"/>
      </rPr>
      <t xml:space="preserve">（台詞を追加）</t>
    </r>
  </si>
  <si>
    <t xml:space="preserve">お客様の依頼と、だれが何をするか。基準に届かなかったときの考え方</t>
  </si>
  <si>
    <t xml:space="preserve">商品が売れたわけではありません。でも、お客様から信頼されて、次の一歩を任されました。これが今日の成功です。ちなみに、デモでうまくいっても、すぐ採用ではありません。実際のラインの条件で確かめてから判断してもらいます。</t>
  </si>
  <si>
    <t xml:space="preserve">デモで正しく数えられたら、すぐ採用してよいでしょうか？</t>
  </si>
  <si>
    <t xml:space="preserve">「実際のラインでも確かめるべき」</t>
  </si>
  <si>
    <t xml:space="preserve">「デモの条件と実際のライン、同じでしょうか？」と返す。</t>
  </si>
  <si>
    <t xml:space="preserve">森さん「デモの条件と、実際のラインの条件。同じでしょうか？」</t>
  </si>
  <si>
    <t xml:space="preserve">ここで、今日の体験をふりかえりましょう。</t>
  </si>
  <si>
    <r>
      <rPr>
        <sz val="10"/>
        <color rgb="FF1E2126"/>
        <rFont val="WenQuanYi Zen Hei"/>
        <family val="2"/>
      </rPr>
      <t xml:space="preserve">既存</t>
    </r>
    <r>
      <rPr>
        <sz val="10"/>
        <color rgb="FF1E2126"/>
        <rFont val="Meiryo UI"/>
        <family val="0"/>
        <charset val="1"/>
      </rPr>
      <t xml:space="preserve">53</t>
    </r>
    <r>
      <rPr>
        <sz val="10"/>
        <color rgb="FF1E2126"/>
        <rFont val="WenQuanYi Zen Hei"/>
        <family val="2"/>
      </rPr>
      <t xml:space="preserve">〜</t>
    </r>
    <r>
      <rPr>
        <sz val="10"/>
        <color rgb="FF1E2126"/>
        <rFont val="Meiryo UI"/>
        <family val="0"/>
        <charset val="1"/>
      </rPr>
      <t xml:space="preserve">59</t>
    </r>
  </si>
  <si>
    <t xml:space="preserve">S39</t>
  </si>
  <si>
    <t xml:space="preserve">REFLECTION</t>
  </si>
  <si>
    <t xml:space="preserve">最後に、今日の体験を自分の言葉にしてみましょう。</t>
  </si>
  <si>
    <r>
      <rPr>
        <sz val="10"/>
        <color rgb="FF1E2126"/>
        <rFont val="Meiryo UI"/>
        <family val="0"/>
        <charset val="1"/>
      </rPr>
      <t xml:space="preserve">5</t>
    </r>
    <r>
      <rPr>
        <sz val="10"/>
        <color rgb="FF1E2126"/>
        <rFont val="WenQuanYi Zen Hei"/>
        <family val="2"/>
      </rPr>
      <t xml:space="preserve">つのステップで、学生が今日したことを振り返る</t>
    </r>
  </si>
  <si>
    <t xml:space="preserve">最初は選ぶだけでした。最後は、自分の言葉でお客様に提案して、次の一歩を任されました。これが、コンサルティング営業の仕事の流れそのものです。</t>
  </si>
  <si>
    <r>
      <rPr>
        <sz val="10"/>
        <color rgb="FF1E2126"/>
        <rFont val="Meiryo UI"/>
        <family val="0"/>
        <charset val="1"/>
      </rPr>
      <t xml:space="preserve">30</t>
    </r>
    <r>
      <rPr>
        <sz val="10"/>
        <color rgb="FF1E2126"/>
        <rFont val="WenQuanYi Zen Hei"/>
        <family val="2"/>
      </rPr>
      <t xml:space="preserve">秒に短縮可</t>
    </r>
  </si>
  <si>
    <r>
      <rPr>
        <sz val="10"/>
        <color rgb="FF1E2126"/>
        <rFont val="WenQuanYi Zen Hei"/>
        <family val="2"/>
      </rPr>
      <t xml:space="preserve">既存</t>
    </r>
    <r>
      <rPr>
        <sz val="10"/>
        <color rgb="FF1E2126"/>
        <rFont val="Meiryo UI"/>
        <family val="0"/>
        <charset val="1"/>
      </rPr>
      <t xml:space="preserve">60</t>
    </r>
    <r>
      <rPr>
        <sz val="10"/>
        <color rgb="FF1E2126"/>
        <rFont val="WenQuanYi Zen Hei"/>
        <family val="2"/>
      </rPr>
      <t xml:space="preserve">〜</t>
    </r>
    <r>
      <rPr>
        <sz val="10"/>
        <color rgb="FF1E2126"/>
        <rFont val="Meiryo UI"/>
        <family val="0"/>
        <charset val="1"/>
      </rPr>
      <t xml:space="preserve">63</t>
    </r>
  </si>
  <si>
    <t xml:space="preserve">ペア</t>
  </si>
  <si>
    <r>
      <rPr>
        <sz val="10"/>
        <color rgb="FF1E2126"/>
        <rFont val="Meiryo UI"/>
        <family val="0"/>
        <charset val="1"/>
      </rPr>
      <t xml:space="preserve">4</t>
    </r>
    <r>
      <rPr>
        <sz val="10"/>
        <color rgb="FF1E2126"/>
        <rFont val="WenQuanYi Zen Hei"/>
        <family val="2"/>
      </rPr>
      <t xml:space="preserve">つの問い。ペアで</t>
    </r>
    <r>
      <rPr>
        <sz val="10"/>
        <color rgb="FF1E2126"/>
        <rFont val="Meiryo UI"/>
        <family val="0"/>
        <charset val="1"/>
      </rPr>
      <t xml:space="preserve">1</t>
    </r>
    <r>
      <rPr>
        <sz val="10"/>
        <color rgb="FF1E2126"/>
        <rFont val="WenQuanYi Zen Hei"/>
        <family val="2"/>
      </rPr>
      <t xml:space="preserve">分話し、</t>
    </r>
    <r>
      <rPr>
        <sz val="10"/>
        <color rgb="FF1E2126"/>
        <rFont val="Meiryo UI"/>
        <family val="0"/>
        <charset val="1"/>
      </rPr>
      <t xml:space="preserve">2</t>
    </r>
    <r>
      <rPr>
        <sz val="10"/>
        <color rgb="FF1E2126"/>
        <rFont val="WenQuanYi Zen Hei"/>
        <family val="2"/>
      </rPr>
      <t xml:space="preserve">〜</t>
    </r>
    <r>
      <rPr>
        <sz val="10"/>
        <color rgb="FF1E2126"/>
        <rFont val="Meiryo UI"/>
        <family val="0"/>
        <charset val="1"/>
      </rPr>
      <t xml:space="preserve">3</t>
    </r>
    <r>
      <rPr>
        <sz val="10"/>
        <color rgb="FF1E2126"/>
        <rFont val="WenQuanYi Zen Hei"/>
        <family val="2"/>
      </rPr>
      <t xml:space="preserve">人に聞く</t>
    </r>
  </si>
  <si>
    <r>
      <rPr>
        <sz val="10"/>
        <color rgb="FF1E2126"/>
        <rFont val="WenQuanYi Zen Hei"/>
        <family val="2"/>
      </rPr>
      <t xml:space="preserve">隣の人と</t>
    </r>
    <r>
      <rPr>
        <sz val="10"/>
        <color rgb="FF1E2126"/>
        <rFont val="Meiryo UI"/>
        <family val="0"/>
        <charset val="1"/>
      </rPr>
      <t xml:space="preserve">1</t>
    </r>
    <r>
      <rPr>
        <sz val="10"/>
        <color rgb="FF1E2126"/>
        <rFont val="WenQuanYi Zen Hei"/>
        <family val="2"/>
      </rPr>
      <t xml:space="preserve">分、話してみてください。どれか</t>
    </r>
    <r>
      <rPr>
        <sz val="10"/>
        <color rgb="FF1E2126"/>
        <rFont val="Meiryo UI"/>
        <family val="0"/>
        <charset val="1"/>
      </rPr>
      <t xml:space="preserve">1</t>
    </r>
    <r>
      <rPr>
        <sz val="10"/>
        <color rgb="FF1E2126"/>
        <rFont val="WenQuanYi Zen Hei"/>
        <family val="2"/>
      </rPr>
      <t xml:space="preserve">つで構いません。</t>
    </r>
  </si>
  <si>
    <t xml:space="preserve">今日、営業の仕事に対するイメージは変わりましたか？</t>
  </si>
  <si>
    <t xml:space="preserve">「売るだけだと思っていた」「質問が大事だと分かった」「提案が通ったのがうれしかった」</t>
  </si>
  <si>
    <t xml:space="preserve">学生の言葉を、次のメッセージにつなげる。「今の○○さんの言葉が、まさに営業の仕事です」</t>
  </si>
  <si>
    <t xml:space="preserve">最初に答えた「営業とはどんな仕事か」と比べてみましょう。</t>
  </si>
  <si>
    <r>
      <rPr>
        <sz val="10"/>
        <color rgb="FF1E2126"/>
        <rFont val="WenQuanYi Zen Hei"/>
        <family val="2"/>
      </rPr>
      <t xml:space="preserve">発表を</t>
    </r>
    <r>
      <rPr>
        <sz val="10"/>
        <color rgb="FF1E2126"/>
        <rFont val="Meiryo UI"/>
        <family val="0"/>
        <charset val="1"/>
      </rPr>
      <t xml:space="preserve">1</t>
    </r>
    <r>
      <rPr>
        <sz val="10"/>
        <color rgb="FF1E2126"/>
        <rFont val="WenQuanYi Zen Hei"/>
        <family val="2"/>
      </rPr>
      <t xml:space="preserve">人にすれば</t>
    </r>
    <r>
      <rPr>
        <sz val="10"/>
        <color rgb="FF1E2126"/>
        <rFont val="Meiryo UI"/>
        <family val="0"/>
        <charset val="1"/>
      </rPr>
      <t xml:space="preserve">1</t>
    </r>
    <r>
      <rPr>
        <sz val="10"/>
        <color rgb="FF1E2126"/>
        <rFont val="WenQuanYi Zen Hei"/>
        <family val="2"/>
      </rPr>
      <t xml:space="preserve">分</t>
    </r>
  </si>
  <si>
    <t xml:space="preserve">今日のメッセージを大きく</t>
  </si>
  <si>
    <t xml:space="preserve">営業とは、商品を売る前に、お客様の困りごとを理解し、解決に向けて一緒に考える仕事です。</t>
  </si>
  <si>
    <r>
      <rPr>
        <sz val="10"/>
        <color rgb="FF1E2126"/>
        <rFont val="Meiryo UI"/>
        <family val="0"/>
        <charset val="1"/>
      </rPr>
      <t xml:space="preserve">IMAGE_PLACEHOLDER_05</t>
    </r>
    <r>
      <rPr>
        <sz val="10"/>
        <color rgb="FF1E2126"/>
        <rFont val="WenQuanYi Zen Hei"/>
        <family val="2"/>
      </rPr>
      <t xml:space="preserve">（顧客と営業担当者の対話）</t>
    </r>
  </si>
  <si>
    <r>
      <rPr>
        <sz val="10"/>
        <color rgb="FF1E2126"/>
        <rFont val="Meiryo UI"/>
        <family val="0"/>
        <charset val="1"/>
      </rPr>
      <t xml:space="preserve">OPTEX-FA</t>
    </r>
    <r>
      <rPr>
        <sz val="10"/>
        <color rgb="FF1E2126"/>
        <rFont val="WenQuanYi Zen Hei"/>
        <family val="2"/>
      </rPr>
      <t xml:space="preserve">の営業には、こんな面白さがあります。</t>
    </r>
  </si>
  <si>
    <r>
      <rPr>
        <sz val="10"/>
        <color rgb="FF1E2126"/>
        <rFont val="WenQuanYi Zen Hei"/>
        <family val="2"/>
      </rPr>
      <t xml:space="preserve">既存</t>
    </r>
    <r>
      <rPr>
        <sz val="10"/>
        <color rgb="FF1E2126"/>
        <rFont val="Meiryo UI"/>
        <family val="0"/>
        <charset val="1"/>
      </rPr>
      <t xml:space="preserve">64</t>
    </r>
  </si>
  <si>
    <r>
      <rPr>
        <sz val="10"/>
        <color rgb="FF1E2126"/>
        <rFont val="WenQuanYi Zen Hei"/>
        <family val="2"/>
      </rPr>
      <t xml:space="preserve">営業の魅力</t>
    </r>
    <r>
      <rPr>
        <sz val="10"/>
        <color rgb="FF1E2126"/>
        <rFont val="Meiryo UI"/>
        <family val="0"/>
        <charset val="1"/>
      </rPr>
      <t xml:space="preserve">5</t>
    </r>
    <r>
      <rPr>
        <sz val="10"/>
        <color rgb="FF1E2126"/>
        <rFont val="WenQuanYi Zen Hei"/>
        <family val="2"/>
      </rPr>
      <t xml:space="preserve">つ。育成の具体例は社内資料の確認後に追記</t>
    </r>
  </si>
  <si>
    <r>
      <rPr>
        <sz val="10"/>
        <color rgb="FF1E2126"/>
        <rFont val="WenQuanYi Zen Hei"/>
        <family val="2"/>
      </rPr>
      <t xml:space="preserve">今日の体験は、</t>
    </r>
    <r>
      <rPr>
        <sz val="10"/>
        <color rgb="FF1E2126"/>
        <rFont val="Meiryo UI"/>
        <family val="0"/>
        <charset val="1"/>
      </rPr>
      <t xml:space="preserve">OPTEX-FA</t>
    </r>
    <r>
      <rPr>
        <sz val="10"/>
        <color rgb="FF1E2126"/>
        <rFont val="WenQuanYi Zen Hei"/>
        <family val="2"/>
      </rPr>
      <t xml:space="preserve">の営業の仕事そのものです。（具体的な研修制度や仕事の例は、社内資料で確認した内容だけを話す）</t>
    </r>
  </si>
  <si>
    <t xml:space="preserve">実際に働いている先輩の声を紹介します。</t>
  </si>
  <si>
    <r>
      <rPr>
        <sz val="10"/>
        <color rgb="FF1E2126"/>
        <rFont val="Meiryo UI"/>
        <family val="0"/>
        <charset val="1"/>
      </rPr>
      <t xml:space="preserve">1</t>
    </r>
    <r>
      <rPr>
        <sz val="10"/>
        <color rgb="FF1E2126"/>
        <rFont val="WenQuanYi Zen Hei"/>
        <family val="2"/>
      </rPr>
      <t xml:space="preserve">分→</t>
    </r>
    <r>
      <rPr>
        <sz val="10"/>
        <color rgb="FF1E2126"/>
        <rFont val="Meiryo UI"/>
        <family val="0"/>
        <charset val="1"/>
      </rPr>
      <t xml:space="preserve">30</t>
    </r>
    <r>
      <rPr>
        <sz val="10"/>
        <color rgb="FF1E2126"/>
        <rFont val="WenQuanYi Zen Hei"/>
        <family val="2"/>
      </rPr>
      <t xml:space="preserve">秒に短縮可</t>
    </r>
  </si>
  <si>
    <t xml:space="preserve">講師／動画</t>
  </si>
  <si>
    <t xml:space="preserve">若手営業社員の写真・動画・メッセージ（差し替え領域。社員情報が届くまで空欄）</t>
  </si>
  <si>
    <t xml:space="preserve">（社員情報が届いたら、本人のエピソードを紹介する。届くまでは、このスライドを飛ばす）</t>
  </si>
  <si>
    <r>
      <rPr>
        <sz val="10"/>
        <color rgb="FF1E2126"/>
        <rFont val="Meiryo UI"/>
        <family val="0"/>
        <charset val="1"/>
      </rPr>
      <t xml:space="preserve">IMAGE_PLACEHOLDER_08</t>
    </r>
    <r>
      <rPr>
        <sz val="10"/>
        <color rgb="FF1E2126"/>
        <rFont val="WenQuanYi Zen Hei"/>
        <family val="2"/>
      </rPr>
      <t xml:space="preserve">（若手営業社員の写真）
</t>
    </r>
    <r>
      <rPr>
        <sz val="10"/>
        <color rgb="FF1E2126"/>
        <rFont val="Meiryo UI"/>
        <family val="0"/>
        <charset val="1"/>
      </rPr>
      <t xml:space="preserve">VIDEO_PLACEHOLDER_05</t>
    </r>
    <r>
      <rPr>
        <sz val="10"/>
        <color rgb="FF1E2126"/>
        <rFont val="WenQuanYi Zen Hei"/>
        <family val="2"/>
      </rPr>
      <t xml:space="preserve">（若手営業社員のメッセージ（任意））</t>
    </r>
  </si>
  <si>
    <t xml:space="preserve">最後に、アンケートと次のステップです。</t>
  </si>
  <si>
    <t xml:space="preserve">社員情報が未提供の間は非表示にする（創作した社員エピソードは使わない）</t>
  </si>
  <si>
    <r>
      <rPr>
        <sz val="10"/>
        <color rgb="FF1E2126"/>
        <rFont val="Meiryo UI"/>
        <family val="0"/>
        <charset val="1"/>
      </rPr>
      <t xml:space="preserve">QR</t>
    </r>
    <r>
      <rPr>
        <sz val="10"/>
        <color rgb="FF1E2126"/>
        <rFont val="WenQuanYi Zen Hei"/>
        <family val="2"/>
      </rPr>
      <t xml:space="preserve">コード（事後アンケート・次回ステップ申込）、次のステップの案内</t>
    </r>
  </si>
  <si>
    <r>
      <rPr>
        <sz val="10"/>
        <color rgb="FF1E2126"/>
        <rFont val="WenQuanYi Zen Hei"/>
        <family val="2"/>
      </rPr>
      <t xml:space="preserve">アンケートに答えてください。最初に聞いた「営業への興味」をもう一度聞きます。</t>
    </r>
    <r>
      <rPr>
        <sz val="10"/>
        <color rgb="FF1E2126"/>
        <rFont val="Meiryo UI"/>
        <family val="0"/>
        <charset val="1"/>
      </rPr>
      <t xml:space="preserve">OPTEX-FA</t>
    </r>
    <r>
      <rPr>
        <sz val="10"/>
        <color rgb="FF1E2126"/>
        <rFont val="WenQuanYi Zen Hei"/>
        <family val="2"/>
      </rPr>
      <t xml:space="preserve">の営業をもっと知りたい人は、次のステップにぜひ参加してください。今日はありがとうございました。</t>
    </r>
  </si>
  <si>
    <r>
      <rPr>
        <sz val="10"/>
        <color rgb="FF1E2126"/>
        <rFont val="Meiryo UI"/>
        <family val="0"/>
        <charset val="1"/>
      </rPr>
      <t xml:space="preserve">IMAGE_PLACEHOLDER_10</t>
    </r>
    <r>
      <rPr>
        <sz val="10"/>
        <color rgb="FF1E2126"/>
        <rFont val="WenQuanYi Zen Hei"/>
        <family val="2"/>
      </rPr>
      <t xml:space="preserve">（事後アンケート・次回ステップ申込の</t>
    </r>
    <r>
      <rPr>
        <sz val="10"/>
        <color rgb="FF1E2126"/>
        <rFont val="Meiryo UI"/>
        <family val="0"/>
        <charset val="1"/>
      </rPr>
      <t xml:space="preserve">QR</t>
    </r>
    <r>
      <rPr>
        <sz val="10"/>
        <color rgb="FF1E2126"/>
        <rFont val="WenQuanYi Zen Hei"/>
        <family val="2"/>
      </rPr>
      <t xml:space="preserve">コード）</t>
    </r>
  </si>
  <si>
    <t xml:space="preserve">（終了）</t>
  </si>
  <si>
    <t xml:space="preserve">省略不可（成果測定と採用接続）</t>
  </si>
  <si>
    <r>
      <rPr>
        <sz val="10"/>
        <color rgb="FF1E2126"/>
        <rFont val="WenQuanYi Zen Hei"/>
        <family val="2"/>
      </rPr>
      <t xml:space="preserve">既存</t>
    </r>
    <r>
      <rPr>
        <sz val="10"/>
        <color rgb="FF1E2126"/>
        <rFont val="Meiryo UI"/>
        <family val="0"/>
        <charset val="1"/>
      </rPr>
      <t xml:space="preserve">69</t>
    </r>
    <r>
      <rPr>
        <sz val="10"/>
        <color rgb="FF1E2126"/>
        <rFont val="WenQuanYi Zen Hei"/>
        <family val="2"/>
      </rPr>
      <t xml:space="preserve">＋新規</t>
    </r>
  </si>
  <si>
    <r>
      <rPr>
        <b val="true"/>
        <sz val="16"/>
        <color rgb="FF1E2126"/>
        <rFont val="WenQuanYi Zen Hei"/>
        <family val="2"/>
      </rPr>
      <t xml:space="preserve">成果物②　新しい全体構成（</t>
    </r>
    <r>
      <rPr>
        <b val="true"/>
        <sz val="16"/>
        <color rgb="FF1E2126"/>
        <rFont val="Meiryo UI"/>
        <family val="0"/>
        <charset val="1"/>
      </rPr>
      <t xml:space="preserve">60</t>
    </r>
    <r>
      <rPr>
        <b val="true"/>
        <sz val="16"/>
        <color rgb="FF1E2126"/>
        <rFont val="WenQuanYi Zen Hei"/>
        <family val="2"/>
      </rPr>
      <t xml:space="preserve">分）</t>
    </r>
  </si>
  <si>
    <r>
      <rPr>
        <sz val="10"/>
        <color rgb="FF5A6470"/>
        <rFont val="WenQuanYi Zen Hei"/>
        <family val="2"/>
      </rPr>
      <t xml:space="preserve">時間は「</t>
    </r>
    <r>
      <rPr>
        <sz val="10"/>
        <color rgb="FF5A6470"/>
        <rFont val="Meiryo UI"/>
        <family val="0"/>
        <charset val="1"/>
      </rPr>
      <t xml:space="preserve">4_</t>
    </r>
    <r>
      <rPr>
        <sz val="10"/>
        <color rgb="FF5A6470"/>
        <rFont val="WenQuanYi Zen Hei"/>
        <family val="2"/>
      </rPr>
      <t xml:space="preserve">講師用進行台本」の所要時間から自動計算。学生の行動を「選ぶ→考える→発見する→提案する→顧客の反応を得る」へ段階的に変える</t>
    </r>
  </si>
  <si>
    <t xml:space="preserve">日本語</t>
  </si>
  <si>
    <t xml:space="preserve">予定（分）</t>
  </si>
  <si>
    <t xml:space="preserve">台本上の所要（分）</t>
  </si>
  <si>
    <t xml:space="preserve">差</t>
  </si>
  <si>
    <t xml:space="preserve">スライド</t>
  </si>
  <si>
    <t xml:space="preserve">学生がすること</t>
  </si>
  <si>
    <t xml:space="preserve">参加型ワーク</t>
  </si>
  <si>
    <t xml:space="preserve">ミッション</t>
  </si>
  <si>
    <r>
      <rPr>
        <sz val="10"/>
        <color rgb="FF1E2126"/>
        <rFont val="Meiryo UI"/>
        <family val="0"/>
        <charset val="1"/>
      </rPr>
      <t xml:space="preserve">S01</t>
    </r>
    <r>
      <rPr>
        <sz val="10"/>
        <color rgb="FF1E2126"/>
        <rFont val="WenQuanYi Zen Hei"/>
        <family val="2"/>
      </rPr>
      <t xml:space="preserve">〜</t>
    </r>
    <r>
      <rPr>
        <sz val="10"/>
        <color rgb="FF1E2126"/>
        <rFont val="Meiryo UI"/>
        <family val="0"/>
        <charset val="1"/>
      </rPr>
      <t xml:space="preserve">S04</t>
    </r>
    <r>
      <rPr>
        <sz val="10"/>
        <color rgb="FF1E2126"/>
        <rFont val="WenQuanYi Zen Hei"/>
        <family val="2"/>
      </rPr>
      <t xml:space="preserve">（</t>
    </r>
    <r>
      <rPr>
        <sz val="10"/>
        <color rgb="FF1E2126"/>
        <rFont val="Meiryo UI"/>
        <family val="0"/>
        <charset val="1"/>
      </rPr>
      <t xml:space="preserve">4</t>
    </r>
    <r>
      <rPr>
        <sz val="10"/>
        <color rgb="FF1E2126"/>
        <rFont val="WenQuanYi Zen Hei"/>
        <family val="2"/>
      </rPr>
      <t xml:space="preserve">枚）</t>
    </r>
  </si>
  <si>
    <r>
      <rPr>
        <sz val="10"/>
        <color rgb="FF1E2126"/>
        <rFont val="WenQuanYi Zen Hei"/>
        <family val="2"/>
      </rPr>
      <t xml:space="preserve">お客様からの</t>
    </r>
    <r>
      <rPr>
        <sz val="10"/>
        <color rgb="FF1E2126"/>
        <rFont val="Meiryo UI"/>
        <family val="0"/>
        <charset val="1"/>
      </rPr>
      <t xml:space="preserve">SOS</t>
    </r>
    <r>
      <rPr>
        <sz val="10"/>
        <color rgb="FF1E2126"/>
        <rFont val="WenQuanYi Zen Hei"/>
        <family val="2"/>
      </rPr>
      <t xml:space="preserve">と、あなたのミッション</t>
    </r>
  </si>
  <si>
    <r>
      <rPr>
        <sz val="10"/>
        <color rgb="FF1E2126"/>
        <rFont val="WenQuanYi Zen Hei"/>
        <family val="2"/>
      </rPr>
      <t xml:space="preserve">事前チェック（</t>
    </r>
    <r>
      <rPr>
        <sz val="10"/>
        <color rgb="FF1E2126"/>
        <rFont val="Meiryo UI"/>
        <family val="0"/>
        <charset val="1"/>
      </rPr>
      <t xml:space="preserve">S02</t>
    </r>
    <r>
      <rPr>
        <sz val="10"/>
        <color rgb="FF1E2126"/>
        <rFont val="WenQuanYi Zen Hei"/>
        <family val="2"/>
      </rPr>
      <t xml:space="preserve">）</t>
    </r>
  </si>
  <si>
    <t xml:space="preserve">聞く</t>
  </si>
  <si>
    <r>
      <rPr>
        <sz val="10"/>
        <color rgb="FF1E2126"/>
        <rFont val="Meiryo UI"/>
        <family val="0"/>
        <charset val="1"/>
      </rPr>
      <t xml:space="preserve">S05</t>
    </r>
    <r>
      <rPr>
        <sz val="10"/>
        <color rgb="FF1E2126"/>
        <rFont val="WenQuanYi Zen Hei"/>
        <family val="2"/>
      </rPr>
      <t xml:space="preserve">〜</t>
    </r>
    <r>
      <rPr>
        <sz val="10"/>
        <color rgb="FF1E2126"/>
        <rFont val="Meiryo UI"/>
        <family val="0"/>
        <charset val="1"/>
      </rPr>
      <t xml:space="preserve">S12</t>
    </r>
    <r>
      <rPr>
        <sz val="10"/>
        <color rgb="FF1E2126"/>
        <rFont val="WenQuanYi Zen Hei"/>
        <family val="2"/>
      </rPr>
      <t xml:space="preserve">（</t>
    </r>
    <r>
      <rPr>
        <sz val="10"/>
        <color rgb="FF1E2126"/>
        <rFont val="Meiryo UI"/>
        <family val="0"/>
        <charset val="1"/>
      </rPr>
      <t xml:space="preserve">8</t>
    </r>
    <r>
      <rPr>
        <sz val="10"/>
        <color rgb="FF1E2126"/>
        <rFont val="WenQuanYi Zen Hei"/>
        <family val="2"/>
      </rPr>
      <t xml:space="preserve">枚）</t>
    </r>
  </si>
  <si>
    <t xml:space="preserve">質問して、困りごとを具体的にする</t>
  </si>
  <si>
    <r>
      <rPr>
        <sz val="10"/>
        <color rgb="FF1E2126"/>
        <rFont val="Meiryo UI"/>
        <family val="0"/>
        <charset val="1"/>
      </rPr>
      <t xml:space="preserve">3</t>
    </r>
    <r>
      <rPr>
        <sz val="10"/>
        <color rgb="FF1E2126"/>
        <rFont val="WenQuanYi Zen Hei"/>
        <family val="2"/>
      </rPr>
      <t xml:space="preserve">択</t>
    </r>
    <r>
      <rPr>
        <sz val="10"/>
        <color rgb="FF1E2126"/>
        <rFont val="Meiryo UI"/>
        <family val="0"/>
        <charset val="1"/>
      </rPr>
      <t xml:space="preserve">×2</t>
    </r>
    <r>
      <rPr>
        <sz val="10"/>
        <color rgb="FF1E2126"/>
        <rFont val="WenQuanYi Zen Hei"/>
        <family val="2"/>
      </rPr>
      <t xml:space="preserve">（</t>
    </r>
    <r>
      <rPr>
        <sz val="10"/>
        <color rgb="FF1E2126"/>
        <rFont val="Meiryo UI"/>
        <family val="0"/>
        <charset val="1"/>
      </rPr>
      <t xml:space="preserve">S06</t>
    </r>
    <r>
      <rPr>
        <sz val="10"/>
        <color rgb="FF1E2126"/>
        <rFont val="WenQuanYi Zen Hei"/>
        <family val="2"/>
      </rPr>
      <t xml:space="preserve">・</t>
    </r>
    <r>
      <rPr>
        <sz val="10"/>
        <color rgb="FF1E2126"/>
        <rFont val="Meiryo UI"/>
        <family val="0"/>
        <charset val="1"/>
      </rPr>
      <t xml:space="preserve">S10</t>
    </r>
    <r>
      <rPr>
        <sz val="10"/>
        <color rgb="FF1E2126"/>
        <rFont val="WenQuanYi Zen Hei"/>
        <family val="2"/>
      </rPr>
      <t xml:space="preserve">）。考える</t>
    </r>
    <r>
      <rPr>
        <sz val="10"/>
        <color rgb="FF1E2126"/>
        <rFont val="Meiryo UI"/>
        <family val="0"/>
        <charset val="1"/>
      </rPr>
      <t xml:space="preserve">30</t>
    </r>
    <r>
      <rPr>
        <sz val="10"/>
        <color rgb="FF1E2126"/>
        <rFont val="WenQuanYi Zen Hei"/>
        <family val="2"/>
      </rPr>
      <t xml:space="preserve">秒＋理由を聞く</t>
    </r>
  </si>
  <si>
    <t xml:space="preserve">考える</t>
  </si>
  <si>
    <r>
      <rPr>
        <sz val="10"/>
        <color rgb="FF1E2126"/>
        <rFont val="Meiryo UI"/>
        <family val="0"/>
        <charset val="1"/>
      </rPr>
      <t xml:space="preserve">S13</t>
    </r>
    <r>
      <rPr>
        <sz val="10"/>
        <color rgb="FF1E2126"/>
        <rFont val="WenQuanYi Zen Hei"/>
        <family val="2"/>
      </rPr>
      <t xml:space="preserve">〜</t>
    </r>
    <r>
      <rPr>
        <sz val="10"/>
        <color rgb="FF1E2126"/>
        <rFont val="Meiryo UI"/>
        <family val="0"/>
        <charset val="1"/>
      </rPr>
      <t xml:space="preserve">S23</t>
    </r>
    <r>
      <rPr>
        <sz val="10"/>
        <color rgb="FF1E2126"/>
        <rFont val="WenQuanYi Zen Hei"/>
        <family val="2"/>
      </rPr>
      <t xml:space="preserve">（</t>
    </r>
    <r>
      <rPr>
        <sz val="10"/>
        <color rgb="FF1E2126"/>
        <rFont val="Meiryo UI"/>
        <family val="0"/>
        <charset val="1"/>
      </rPr>
      <t xml:space="preserve">11</t>
    </r>
    <r>
      <rPr>
        <sz val="10"/>
        <color rgb="FF1E2126"/>
        <rFont val="WenQuanYi Zen Hei"/>
        <family val="2"/>
      </rPr>
      <t xml:space="preserve">枚）</t>
    </r>
  </si>
  <si>
    <t xml:space="preserve">原因の仮説を立て、確かめ方を考える</t>
  </si>
  <si>
    <r>
      <rPr>
        <sz val="10"/>
        <color rgb="FF1E2126"/>
        <rFont val="WenQuanYi Zen Hei"/>
        <family val="2"/>
      </rPr>
      <t xml:space="preserve">自由記述：仮説を立てる（</t>
    </r>
    <r>
      <rPr>
        <sz val="10"/>
        <color rgb="FF1E2126"/>
        <rFont val="Meiryo UI"/>
        <family val="0"/>
        <charset val="1"/>
      </rPr>
      <t xml:space="preserve">S16</t>
    </r>
    <r>
      <rPr>
        <sz val="10"/>
        <color rgb="FF1E2126"/>
        <rFont val="WenQuanYi Zen Hei"/>
        <family val="2"/>
      </rPr>
      <t xml:space="preserve">）／</t>
    </r>
    <r>
      <rPr>
        <sz val="10"/>
        <color rgb="FF1E2126"/>
        <rFont val="Meiryo UI"/>
        <family val="0"/>
        <charset val="1"/>
      </rPr>
      <t xml:space="preserve">3</t>
    </r>
    <r>
      <rPr>
        <sz val="10"/>
        <color rgb="FF1E2126"/>
        <rFont val="WenQuanYi Zen Hei"/>
        <family val="2"/>
      </rPr>
      <t xml:space="preserve">択（</t>
    </r>
    <r>
      <rPr>
        <sz val="10"/>
        <color rgb="FF1E2126"/>
        <rFont val="Meiryo UI"/>
        <family val="0"/>
        <charset val="1"/>
      </rPr>
      <t xml:space="preserve">S20</t>
    </r>
    <r>
      <rPr>
        <sz val="10"/>
        <color rgb="FF1E2126"/>
        <rFont val="WenQuanYi Zen Hei"/>
        <family val="2"/>
      </rPr>
      <t xml:space="preserve">）／グループ：原因を決めつけずに調べるには？（</t>
    </r>
    <r>
      <rPr>
        <sz val="10"/>
        <color rgb="FF1E2126"/>
        <rFont val="Meiryo UI"/>
        <family val="0"/>
        <charset val="1"/>
      </rPr>
      <t xml:space="preserve">S22</t>
    </r>
    <r>
      <rPr>
        <sz val="10"/>
        <color rgb="FF1E2126"/>
        <rFont val="WenQuanYi Zen Hei"/>
        <family val="2"/>
      </rPr>
      <t xml:space="preserve">）</t>
    </r>
  </si>
  <si>
    <t xml:space="preserve">発見する</t>
  </si>
  <si>
    <r>
      <rPr>
        <sz val="10"/>
        <color rgb="FF1E2126"/>
        <rFont val="Meiryo UI"/>
        <family val="0"/>
        <charset val="1"/>
      </rPr>
      <t xml:space="preserve">S24</t>
    </r>
    <r>
      <rPr>
        <sz val="10"/>
        <color rgb="FF1E2126"/>
        <rFont val="WenQuanYi Zen Hei"/>
        <family val="2"/>
      </rPr>
      <t xml:space="preserve">〜</t>
    </r>
    <r>
      <rPr>
        <sz val="10"/>
        <color rgb="FF1E2126"/>
        <rFont val="Meiryo UI"/>
        <family val="0"/>
        <charset val="1"/>
      </rPr>
      <t xml:space="preserve">S30</t>
    </r>
    <r>
      <rPr>
        <sz val="10"/>
        <color rgb="FF1E2126"/>
        <rFont val="WenQuanYi Zen Hei"/>
        <family val="2"/>
      </rPr>
      <t xml:space="preserve">（</t>
    </r>
    <r>
      <rPr>
        <sz val="10"/>
        <color rgb="FF1E2126"/>
        <rFont val="Meiryo UI"/>
        <family val="0"/>
        <charset val="1"/>
      </rPr>
      <t xml:space="preserve">7</t>
    </r>
    <r>
      <rPr>
        <sz val="10"/>
        <color rgb="FF1E2126"/>
        <rFont val="WenQuanYi Zen Hei"/>
        <family val="2"/>
      </rPr>
      <t xml:space="preserve">枚）</t>
    </r>
  </si>
  <si>
    <t xml:space="preserve">お客様が本当に実現したいことを見つける</t>
  </si>
  <si>
    <r>
      <rPr>
        <sz val="10"/>
        <color rgb="FF1E2126"/>
        <rFont val="WenQuanYi Zen Hei"/>
        <family val="2"/>
      </rPr>
      <t xml:space="preserve">自由記述：この一言の裏は？（</t>
    </r>
    <r>
      <rPr>
        <sz val="10"/>
        <color rgb="FF1E2126"/>
        <rFont val="Meiryo UI"/>
        <family val="0"/>
        <charset val="1"/>
      </rPr>
      <t xml:space="preserve">S25</t>
    </r>
    <r>
      <rPr>
        <sz val="10"/>
        <color rgb="FF1E2126"/>
        <rFont val="WenQuanYi Zen Hei"/>
        <family val="2"/>
      </rPr>
      <t xml:space="preserve">）／中心ワーク：誤カウントがなくなると何がうれしい？（</t>
    </r>
    <r>
      <rPr>
        <sz val="10"/>
        <color rgb="FF1E2126"/>
        <rFont val="Meiryo UI"/>
        <family val="0"/>
        <charset val="1"/>
      </rPr>
      <t xml:space="preserve">S27</t>
    </r>
    <r>
      <rPr>
        <sz val="10"/>
        <color rgb="FF1E2126"/>
        <rFont val="WenQuanYi Zen Hei"/>
        <family val="2"/>
      </rPr>
      <t xml:space="preserve">）／</t>
    </r>
    <r>
      <rPr>
        <sz val="10"/>
        <color rgb="FF1E2126"/>
        <rFont val="Meiryo UI"/>
        <family val="0"/>
        <charset val="1"/>
      </rPr>
      <t xml:space="preserve">3</t>
    </r>
    <r>
      <rPr>
        <sz val="10"/>
        <color rgb="FF1E2126"/>
        <rFont val="WenQuanYi Zen Hei"/>
        <family val="2"/>
      </rPr>
      <t xml:space="preserve">段目を言葉にする（</t>
    </r>
    <r>
      <rPr>
        <sz val="10"/>
        <color rgb="FF1E2126"/>
        <rFont val="Meiryo UI"/>
        <family val="0"/>
        <charset val="1"/>
      </rPr>
      <t xml:space="preserve">S28</t>
    </r>
    <r>
      <rPr>
        <sz val="10"/>
        <color rgb="FF1E2126"/>
        <rFont val="WenQuanYi Zen Hei"/>
        <family val="2"/>
      </rPr>
      <t xml:space="preserve">）</t>
    </r>
  </si>
  <si>
    <t xml:space="preserve">提案する</t>
  </si>
  <si>
    <r>
      <rPr>
        <sz val="10"/>
        <color rgb="FF1E2126"/>
        <rFont val="Meiryo UI"/>
        <family val="0"/>
        <charset val="1"/>
      </rPr>
      <t xml:space="preserve">S31</t>
    </r>
    <r>
      <rPr>
        <sz val="10"/>
        <color rgb="FF1E2126"/>
        <rFont val="WenQuanYi Zen Hei"/>
        <family val="2"/>
      </rPr>
      <t xml:space="preserve">〜</t>
    </r>
    <r>
      <rPr>
        <sz val="10"/>
        <color rgb="FF1E2126"/>
        <rFont val="Meiryo UI"/>
        <family val="0"/>
        <charset val="1"/>
      </rPr>
      <t xml:space="preserve">S38</t>
    </r>
    <r>
      <rPr>
        <sz val="10"/>
        <color rgb="FF1E2126"/>
        <rFont val="WenQuanYi Zen Hei"/>
        <family val="2"/>
      </rPr>
      <t xml:space="preserve">（</t>
    </r>
    <r>
      <rPr>
        <sz val="10"/>
        <color rgb="FF1E2126"/>
        <rFont val="Meiryo UI"/>
        <family val="0"/>
        <charset val="1"/>
      </rPr>
      <t xml:space="preserve">8</t>
    </r>
    <r>
      <rPr>
        <sz val="10"/>
        <color rgb="FF1E2126"/>
        <rFont val="WenQuanYi Zen Hei"/>
        <family val="2"/>
      </rPr>
      <t xml:space="preserve">枚）</t>
    </r>
  </si>
  <si>
    <t xml:space="preserve">自分の言葉で提案し、お客様の反応を得る</t>
  </si>
  <si>
    <r>
      <rPr>
        <sz val="10"/>
        <color rgb="FF1E2126"/>
        <rFont val="WenQuanYi Zen Hei"/>
        <family val="2"/>
      </rPr>
      <t xml:space="preserve">模擬提案ワーク（</t>
    </r>
    <r>
      <rPr>
        <sz val="10"/>
        <color rgb="FF1E2126"/>
        <rFont val="Meiryo UI"/>
        <family val="0"/>
        <charset val="1"/>
      </rPr>
      <t xml:space="preserve">S35</t>
    </r>
    <r>
      <rPr>
        <sz val="10"/>
        <color rgb="FF1E2126"/>
        <rFont val="WenQuanYi Zen Hei"/>
        <family val="2"/>
      </rPr>
      <t xml:space="preserve">：考える</t>
    </r>
    <r>
      <rPr>
        <sz val="10"/>
        <color rgb="FF1E2126"/>
        <rFont val="Meiryo UI"/>
        <family val="0"/>
        <charset val="1"/>
      </rPr>
      <t xml:space="preserve">2</t>
    </r>
    <r>
      <rPr>
        <sz val="10"/>
        <color rgb="FF1E2126"/>
        <rFont val="WenQuanYi Zen Hei"/>
        <family val="2"/>
      </rPr>
      <t xml:space="preserve">分＋まとめる</t>
    </r>
    <r>
      <rPr>
        <sz val="10"/>
        <color rgb="FF1E2126"/>
        <rFont val="Meiryo UI"/>
        <family val="0"/>
        <charset val="1"/>
      </rPr>
      <t xml:space="preserve">3</t>
    </r>
    <r>
      <rPr>
        <sz val="10"/>
        <color rgb="FF1E2126"/>
        <rFont val="WenQuanYi Zen Hei"/>
        <family val="2"/>
      </rPr>
      <t xml:space="preserve">分）／提案タイム（</t>
    </r>
    <r>
      <rPr>
        <sz val="10"/>
        <color rgb="FF1E2126"/>
        <rFont val="Meiryo UI"/>
        <family val="0"/>
        <charset val="1"/>
      </rPr>
      <t xml:space="preserve">S36</t>
    </r>
    <r>
      <rPr>
        <sz val="10"/>
        <color rgb="FF1E2126"/>
        <rFont val="WenQuanYi Zen Hei"/>
        <family val="2"/>
      </rPr>
      <t xml:space="preserve">：</t>
    </r>
    <r>
      <rPr>
        <sz val="10"/>
        <color rgb="FF1E2126"/>
        <rFont val="Meiryo UI"/>
        <family val="0"/>
        <charset val="1"/>
      </rPr>
      <t xml:space="preserve">90</t>
    </r>
    <r>
      <rPr>
        <sz val="10"/>
        <color rgb="FF1E2126"/>
        <rFont val="WenQuanYi Zen Hei"/>
        <family val="2"/>
      </rPr>
      <t xml:space="preserve">秒</t>
    </r>
    <r>
      <rPr>
        <sz val="10"/>
        <color rgb="FF1E2126"/>
        <rFont val="Meiryo UI"/>
        <family val="0"/>
        <charset val="1"/>
      </rPr>
      <t xml:space="preserve">×2</t>
    </r>
    <r>
      <rPr>
        <sz val="10"/>
        <color rgb="FF1E2126"/>
        <rFont val="WenQuanYi Zen Hei"/>
        <family val="2"/>
      </rPr>
      <t xml:space="preserve">組＋顧客役の反応）</t>
    </r>
  </si>
  <si>
    <t xml:space="preserve">ふりかえる</t>
  </si>
  <si>
    <r>
      <rPr>
        <sz val="10"/>
        <color rgb="FF1E2126"/>
        <rFont val="Meiryo UI"/>
        <family val="0"/>
        <charset val="1"/>
      </rPr>
      <t xml:space="preserve">S39</t>
    </r>
    <r>
      <rPr>
        <sz val="10"/>
        <color rgb="FF1E2126"/>
        <rFont val="WenQuanYi Zen Hei"/>
        <family val="2"/>
      </rPr>
      <t xml:space="preserve">〜</t>
    </r>
    <r>
      <rPr>
        <sz val="10"/>
        <color rgb="FF1E2126"/>
        <rFont val="Meiryo UI"/>
        <family val="0"/>
        <charset val="1"/>
      </rPr>
      <t xml:space="preserve">S45</t>
    </r>
    <r>
      <rPr>
        <sz val="10"/>
        <color rgb="FF1E2126"/>
        <rFont val="WenQuanYi Zen Hei"/>
        <family val="2"/>
      </rPr>
      <t xml:space="preserve">（</t>
    </r>
    <r>
      <rPr>
        <sz val="10"/>
        <color rgb="FF1E2126"/>
        <rFont val="Meiryo UI"/>
        <family val="0"/>
        <charset val="1"/>
      </rPr>
      <t xml:space="preserve">7</t>
    </r>
    <r>
      <rPr>
        <sz val="10"/>
        <color rgb="FF1E2126"/>
        <rFont val="WenQuanYi Zen Hei"/>
        <family val="2"/>
      </rPr>
      <t xml:space="preserve">枚）</t>
    </r>
  </si>
  <si>
    <t xml:space="preserve">営業の仕事の面白さを言葉にする</t>
  </si>
  <si>
    <r>
      <rPr>
        <sz val="10"/>
        <color rgb="FF1E2126"/>
        <rFont val="WenQuanYi Zen Hei"/>
        <family val="2"/>
      </rPr>
      <t xml:space="preserve">ペアで振り返り（</t>
    </r>
    <r>
      <rPr>
        <sz val="10"/>
        <color rgb="FF1E2126"/>
        <rFont val="Meiryo UI"/>
        <family val="0"/>
        <charset val="1"/>
      </rPr>
      <t xml:space="preserve">S41</t>
    </r>
    <r>
      <rPr>
        <sz val="10"/>
        <color rgb="FF1E2126"/>
        <rFont val="WenQuanYi Zen Hei"/>
        <family val="2"/>
      </rPr>
      <t xml:space="preserve">）／事後アンケート（</t>
    </r>
    <r>
      <rPr>
        <sz val="10"/>
        <color rgb="FF1E2126"/>
        <rFont val="Meiryo UI"/>
        <family val="0"/>
        <charset val="1"/>
      </rPr>
      <t xml:space="preserve">S45</t>
    </r>
    <r>
      <rPr>
        <sz val="10"/>
        <color rgb="FF1E2126"/>
        <rFont val="WenQuanYi Zen Hei"/>
        <family val="2"/>
      </rPr>
      <t xml:space="preserve">）</t>
    </r>
  </si>
  <si>
    <r>
      <rPr>
        <sz val="10"/>
        <rFont val="WenQuanYi Zen Hei"/>
        <family val="2"/>
      </rPr>
      <t xml:space="preserve">・時間の内訳（目安）：動画 約</t>
    </r>
    <r>
      <rPr>
        <sz val="10"/>
        <rFont val="Meiryo UI"/>
        <family val="0"/>
        <charset val="1"/>
      </rPr>
      <t xml:space="preserve">3</t>
    </r>
    <r>
      <rPr>
        <sz val="10"/>
        <rFont val="WenQuanYi Zen Hei"/>
        <family val="2"/>
      </rPr>
      <t xml:space="preserve">分／学生が考える・話す・発表する 約</t>
    </r>
    <r>
      <rPr>
        <sz val="10"/>
        <rFont val="Meiryo UI"/>
        <family val="0"/>
        <charset val="1"/>
      </rPr>
      <t xml:space="preserve">22</t>
    </r>
    <r>
      <rPr>
        <sz val="10"/>
        <rFont val="WenQuanYi Zen Hei"/>
        <family val="2"/>
      </rPr>
      <t xml:space="preserve">分／講師の説明 約</t>
    </r>
    <r>
      <rPr>
        <sz val="10"/>
        <rFont val="Meiryo UI"/>
        <family val="0"/>
        <charset val="1"/>
      </rPr>
      <t xml:space="preserve">35</t>
    </r>
    <r>
      <rPr>
        <sz val="10"/>
        <rFont val="WenQuanYi Zen Hei"/>
        <family val="2"/>
      </rPr>
      <t xml:space="preserve">分</t>
    </r>
  </si>
  <si>
    <r>
      <rPr>
        <sz val="10"/>
        <rFont val="WenQuanYi Zen Hei"/>
        <family val="2"/>
      </rPr>
      <t xml:space="preserve">・</t>
    </r>
    <r>
      <rPr>
        <sz val="10"/>
        <rFont val="Meiryo UI"/>
        <family val="0"/>
        <charset val="1"/>
      </rPr>
      <t xml:space="preserve">PROPOSAL</t>
    </r>
    <r>
      <rPr>
        <sz val="10"/>
        <rFont val="WenQuanYi Zen Hei"/>
        <family val="2"/>
      </rPr>
      <t xml:space="preserve">の模擬提案ワークは、指示書の推奨（</t>
    </r>
    <r>
      <rPr>
        <sz val="10"/>
        <rFont val="Meiryo UI"/>
        <family val="0"/>
        <charset val="1"/>
      </rPr>
      <t xml:space="preserve">3</t>
    </r>
    <r>
      <rPr>
        <sz val="10"/>
        <rFont val="WenQuanYi Zen Hei"/>
        <family val="2"/>
      </rPr>
      <t xml:space="preserve">分＋</t>
    </r>
    <r>
      <rPr>
        <sz val="10"/>
        <rFont val="Meiryo UI"/>
        <family val="0"/>
        <charset val="1"/>
      </rPr>
      <t xml:space="preserve">4</t>
    </r>
    <r>
      <rPr>
        <sz val="10"/>
        <rFont val="WenQuanYi Zen Hei"/>
        <family val="2"/>
      </rPr>
      <t xml:space="preserve">分＋</t>
    </r>
    <r>
      <rPr>
        <sz val="10"/>
        <rFont val="Meiryo UI"/>
        <family val="0"/>
        <charset val="1"/>
      </rPr>
      <t xml:space="preserve">4</t>
    </r>
    <r>
      <rPr>
        <sz val="10"/>
        <rFont val="WenQuanYi Zen Hei"/>
        <family val="2"/>
      </rPr>
      <t xml:space="preserve">分＋</t>
    </r>
    <r>
      <rPr>
        <sz val="10"/>
        <rFont val="Meiryo UI"/>
        <family val="0"/>
        <charset val="1"/>
      </rPr>
      <t xml:space="preserve">2</t>
    </r>
    <r>
      <rPr>
        <sz val="10"/>
        <rFont val="WenQuanYi Zen Hei"/>
        <family val="2"/>
      </rPr>
      <t xml:space="preserve">分）より短い「考える</t>
    </r>
    <r>
      <rPr>
        <sz val="10"/>
        <rFont val="Meiryo UI"/>
        <family val="0"/>
        <charset val="1"/>
      </rPr>
      <t xml:space="preserve">2</t>
    </r>
    <r>
      <rPr>
        <sz val="10"/>
        <rFont val="WenQuanYi Zen Hei"/>
        <family val="2"/>
      </rPr>
      <t xml:space="preserve">分＋まとめる</t>
    </r>
    <r>
      <rPr>
        <sz val="10"/>
        <rFont val="Meiryo UI"/>
        <family val="0"/>
        <charset val="1"/>
      </rPr>
      <t xml:space="preserve">3</t>
    </r>
    <r>
      <rPr>
        <sz val="10"/>
        <rFont val="WenQuanYi Zen Hei"/>
        <family val="2"/>
      </rPr>
      <t xml:space="preserve">分＋発表と反応</t>
    </r>
    <r>
      <rPr>
        <sz val="10"/>
        <rFont val="Meiryo UI"/>
        <family val="0"/>
        <charset val="1"/>
      </rPr>
      <t xml:space="preserve">4</t>
    </r>
    <r>
      <rPr>
        <sz val="10"/>
        <rFont val="WenQuanYi Zen Hei"/>
        <family val="2"/>
      </rPr>
      <t xml:space="preserve">分」。理由と代案は「</t>
    </r>
    <r>
      <rPr>
        <sz val="10"/>
        <rFont val="Meiryo UI"/>
        <family val="0"/>
        <charset val="1"/>
      </rPr>
      <t xml:space="preserve">8_</t>
    </r>
    <r>
      <rPr>
        <sz val="10"/>
        <rFont val="WenQuanYi Zen Hei"/>
        <family val="2"/>
      </rPr>
      <t xml:space="preserve">要確認事項」</t>
    </r>
  </si>
  <si>
    <r>
      <rPr>
        <sz val="10"/>
        <rFont val="WenQuanYi Zen Hei"/>
        <family val="2"/>
      </rPr>
      <t xml:space="preserve">・時間を超えそうなときの削り方：</t>
    </r>
    <r>
      <rPr>
        <sz val="10"/>
        <rFont val="Meiryo UI"/>
        <family val="0"/>
        <charset val="1"/>
      </rPr>
      <t xml:space="preserve">S19</t>
    </r>
    <r>
      <rPr>
        <sz val="10"/>
        <rFont val="WenQuanYi Zen Hei"/>
        <family val="2"/>
      </rPr>
      <t xml:space="preserve">（仮説のイメージ）→ </t>
    </r>
    <r>
      <rPr>
        <sz val="10"/>
        <rFont val="Meiryo UI"/>
        <family val="0"/>
        <charset val="1"/>
      </rPr>
      <t xml:space="preserve">S44</t>
    </r>
    <r>
      <rPr>
        <sz val="10"/>
        <rFont val="WenQuanYi Zen Hei"/>
        <family val="2"/>
      </rPr>
      <t xml:space="preserve">（若手社員：素材がないうちは非表示）→ </t>
    </r>
    <r>
      <rPr>
        <sz val="10"/>
        <rFont val="Meiryo UI"/>
        <family val="0"/>
        <charset val="1"/>
      </rPr>
      <t xml:space="preserve">S26</t>
    </r>
    <r>
      <rPr>
        <sz val="10"/>
        <rFont val="WenQuanYi Zen Hei"/>
        <family val="2"/>
      </rPr>
      <t xml:space="preserve">右側 → </t>
    </r>
    <r>
      <rPr>
        <sz val="10"/>
        <rFont val="Meiryo UI"/>
        <family val="0"/>
        <charset val="1"/>
      </rPr>
      <t xml:space="preserve">S09</t>
    </r>
    <r>
      <rPr>
        <sz val="10"/>
        <rFont val="WenQuanYi Zen Hei"/>
        <family val="2"/>
      </rPr>
      <t xml:space="preserve">を一言に。合計で約</t>
    </r>
    <r>
      <rPr>
        <sz val="10"/>
        <rFont val="Meiryo UI"/>
        <family val="0"/>
        <charset val="1"/>
      </rPr>
      <t xml:space="preserve">5</t>
    </r>
    <r>
      <rPr>
        <sz val="10"/>
        <rFont val="WenQuanYi Zen Hei"/>
        <family val="2"/>
      </rPr>
      <t xml:space="preserve">〜</t>
    </r>
    <r>
      <rPr>
        <sz val="10"/>
        <rFont val="Meiryo UI"/>
        <family val="0"/>
        <charset val="1"/>
      </rPr>
      <t xml:space="preserve">7</t>
    </r>
    <r>
      <rPr>
        <sz val="10"/>
        <rFont val="WenQuanYi Zen Hei"/>
        <family val="2"/>
      </rPr>
      <t xml:space="preserve">分短くできる</t>
    </r>
  </si>
  <si>
    <r>
      <rPr>
        <sz val="10"/>
        <rFont val="WenQuanYi Zen Hei"/>
        <family val="2"/>
      </rPr>
      <t xml:space="preserve">・発表の組数を増やすとき：</t>
    </r>
    <r>
      <rPr>
        <sz val="10"/>
        <rFont val="Meiryo UI"/>
        <family val="0"/>
        <charset val="1"/>
      </rPr>
      <t xml:space="preserve">1</t>
    </r>
    <r>
      <rPr>
        <sz val="10"/>
        <rFont val="WenQuanYi Zen Hei"/>
        <family val="2"/>
      </rPr>
      <t xml:space="preserve">組増えるごとに約</t>
    </r>
    <r>
      <rPr>
        <sz val="10"/>
        <rFont val="Meiryo UI"/>
        <family val="0"/>
        <charset val="1"/>
      </rPr>
      <t xml:space="preserve">2</t>
    </r>
    <r>
      <rPr>
        <sz val="10"/>
        <rFont val="WenQuanYi Zen Hei"/>
        <family val="2"/>
      </rPr>
      <t xml:space="preserve">分。上の削り方で時間をつくる</t>
    </r>
  </si>
  <si>
    <t xml:space="preserve">成果物⑤　画像・動画差し替え管理表</t>
  </si>
  <si>
    <r>
      <rPr>
        <sz val="10"/>
        <color rgb="FF5A6470"/>
        <rFont val="WenQuanYi Zen Hei"/>
        <family val="2"/>
      </rPr>
      <t xml:space="preserve">スライド上の枠は、</t>
    </r>
    <r>
      <rPr>
        <sz val="10"/>
        <color rgb="FF5A6470"/>
        <rFont val="Meiryo UI"/>
        <family val="0"/>
        <charset val="1"/>
      </rPr>
      <t xml:space="preserve">PowerPoint</t>
    </r>
    <r>
      <rPr>
        <sz val="10"/>
        <color rgb="FF5A6470"/>
        <rFont val="WenQuanYi Zen Hei"/>
        <family val="2"/>
      </rPr>
      <t xml:space="preserve">の「選択ウィンドウ」で同じ番号の名前がついている。枠の比率に合わせて用意すると、余白なく収まる</t>
    </r>
  </si>
  <si>
    <t xml:space="preserve">番号</t>
  </si>
  <si>
    <t xml:space="preserve">種類</t>
  </si>
  <si>
    <t xml:space="preserve">用途</t>
  </si>
  <si>
    <t xml:space="preserve">配置フェーズ</t>
  </si>
  <si>
    <t xml:space="preserve">目的</t>
  </si>
  <si>
    <t xml:space="preserve">枠の大きさ（インチ）</t>
  </si>
  <si>
    <t xml:space="preserve">枠の比率</t>
  </si>
  <si>
    <r>
      <rPr>
        <b val="true"/>
        <sz val="10"/>
        <color rgb="FFFFFFFF"/>
        <rFont val="WenQuanYi Zen Hei"/>
        <family val="2"/>
      </rPr>
      <t xml:space="preserve">推奨の大きさ（</t>
    </r>
    <r>
      <rPr>
        <b val="true"/>
        <sz val="10"/>
        <color rgb="FFFFFFFF"/>
        <rFont val="Meiryo UI"/>
        <family val="0"/>
        <charset val="1"/>
      </rPr>
      <t xml:space="preserve">px</t>
    </r>
    <r>
      <rPr>
        <b val="true"/>
        <sz val="10"/>
        <color rgb="FFFFFFFF"/>
        <rFont val="WenQuanYi Zen Hei"/>
        <family val="2"/>
      </rPr>
      <t xml:space="preserve">）</t>
    </r>
  </si>
  <si>
    <t xml:space="preserve">仮素材</t>
  </si>
  <si>
    <t xml:space="preserve">長さの上限</t>
  </si>
  <si>
    <t xml:space="preserve">状況</t>
  </si>
  <si>
    <t xml:space="preserve">差し替え予定日</t>
  </si>
  <si>
    <t xml:space="preserve">担当</t>
  </si>
  <si>
    <t xml:space="preserve">備考</t>
  </si>
  <si>
    <t xml:space="preserve">IMAGE_PLACEHOLDER_01</t>
  </si>
  <si>
    <t xml:space="preserve">画像</t>
  </si>
  <si>
    <r>
      <rPr>
        <sz val="10"/>
        <color rgb="FF1E2126"/>
        <rFont val="Meiryo UI"/>
        <family val="0"/>
        <charset val="1"/>
      </rPr>
      <t xml:space="preserve">PET</t>
    </r>
    <r>
      <rPr>
        <sz val="10"/>
        <color rgb="FF1E2126"/>
        <rFont val="WenQuanYi Zen Hei"/>
        <family val="2"/>
      </rPr>
      <t xml:space="preserve">ボトル搬送ライン</t>
    </r>
  </si>
  <si>
    <r>
      <rPr>
        <sz val="10"/>
        <color rgb="FF1E2126"/>
        <rFont val="Meiryo UI"/>
        <family val="0"/>
        <charset val="1"/>
      </rPr>
      <t xml:space="preserve">MISSION</t>
    </r>
    <r>
      <rPr>
        <sz val="10"/>
        <color rgb="FF1E2126"/>
        <rFont val="WenQuanYi Zen Hei"/>
        <family val="2"/>
      </rPr>
      <t xml:space="preserve">・</t>
    </r>
    <r>
      <rPr>
        <sz val="10"/>
        <color rgb="FF1E2126"/>
        <rFont val="Meiryo UI"/>
        <family val="0"/>
        <charset val="1"/>
      </rPr>
      <t xml:space="preserve">HEARING</t>
    </r>
  </si>
  <si>
    <t xml:space="preserve">工場の現場状況を直感的に理解させる</t>
  </si>
  <si>
    <t xml:space="preserve">4.4×2.5</t>
  </si>
  <si>
    <t xml:space="preserve">16:9</t>
  </si>
  <si>
    <r>
      <rPr>
        <sz val="10"/>
        <color rgb="FF1E2126"/>
        <rFont val="Meiryo UI"/>
        <family val="0"/>
        <charset val="1"/>
      </rPr>
      <t xml:space="preserve">1320×750</t>
    </r>
    <r>
      <rPr>
        <sz val="10"/>
        <color rgb="FF1E2126"/>
        <rFont val="WenQuanYi Zen Hei"/>
        <family val="2"/>
      </rPr>
      <t xml:space="preserve">以上</t>
    </r>
  </si>
  <si>
    <t xml:space="preserve">既存の導入動画・オープニング映像の静止画</t>
  </si>
  <si>
    <t xml:space="preserve">仮画像を配置</t>
  </si>
  <si>
    <t xml:space="preserve">IMAGE_PLACEHOLDER_09</t>
  </si>
  <si>
    <r>
      <rPr>
        <sz val="10"/>
        <color rgb="FF1E2126"/>
        <rFont val="WenQuanYi Zen Hei"/>
        <family val="2"/>
      </rPr>
      <t xml:space="preserve">事前チェックの</t>
    </r>
    <r>
      <rPr>
        <sz val="10"/>
        <color rgb="FF1E2126"/>
        <rFont val="Meiryo UI"/>
        <family val="0"/>
        <charset val="1"/>
      </rPr>
      <t xml:space="preserve">QR</t>
    </r>
    <r>
      <rPr>
        <sz val="10"/>
        <color rgb="FF1E2126"/>
        <rFont val="WenQuanYi Zen Hei"/>
        <family val="2"/>
      </rPr>
      <t xml:space="preserve">コード</t>
    </r>
  </si>
  <si>
    <t xml:space="preserve">参加前の興味を回答してもらう</t>
  </si>
  <si>
    <t xml:space="preserve">3.2×3.2</t>
  </si>
  <si>
    <t xml:space="preserve">1:1</t>
  </si>
  <si>
    <r>
      <rPr>
        <sz val="10"/>
        <color rgb="FF1E2126"/>
        <rFont val="Meiryo UI"/>
        <family val="0"/>
        <charset val="1"/>
      </rPr>
      <t xml:space="preserve">960×960</t>
    </r>
    <r>
      <rPr>
        <sz val="10"/>
        <color rgb="FF1E2126"/>
        <rFont val="WenQuanYi Zen Hei"/>
        <family val="2"/>
      </rPr>
      <t xml:space="preserve">以上</t>
    </r>
  </si>
  <si>
    <t xml:space="preserve">なし（点線の枠のみ）</t>
  </si>
  <si>
    <t xml:space="preserve">未提供</t>
  </si>
  <si>
    <t xml:space="preserve">VIDEO_PLACEHOLDER_01</t>
  </si>
  <si>
    <t xml:space="preserve">映像①　課題発生</t>
  </si>
  <si>
    <t xml:space="preserve">ラインで、実際の本数より多く数えられる状況を見せる</t>
  </si>
  <si>
    <t xml:space="preserve">7.4×4.16</t>
  </si>
  <si>
    <r>
      <rPr>
        <sz val="10"/>
        <color rgb="FF1E2126"/>
        <rFont val="Meiryo UI"/>
        <family val="0"/>
        <charset val="1"/>
      </rPr>
      <t xml:space="preserve">2220×1248</t>
    </r>
    <r>
      <rPr>
        <sz val="10"/>
        <color rgb="FF1E2126"/>
        <rFont val="WenQuanYi Zen Hei"/>
        <family val="2"/>
      </rPr>
      <t xml:space="preserve">以上</t>
    </r>
  </si>
  <si>
    <r>
      <rPr>
        <sz val="10"/>
        <color rgb="FF1E2126"/>
        <rFont val="WenQuanYi Zen Hei"/>
        <family val="2"/>
      </rPr>
      <t xml:space="preserve">既存の導入動画（</t>
    </r>
    <r>
      <rPr>
        <sz val="10"/>
        <color rgb="FF1E2126"/>
        <rFont val="Meiryo UI"/>
        <family val="0"/>
        <charset val="1"/>
      </rPr>
      <t xml:space="preserve">3</t>
    </r>
    <r>
      <rPr>
        <sz val="10"/>
        <color rgb="FF1E2126"/>
        <rFont val="WenQuanYi Zen Hei"/>
        <family val="2"/>
      </rPr>
      <t xml:space="preserve">分</t>
    </r>
    <r>
      <rPr>
        <sz val="10"/>
        <color rgb="FF1E2126"/>
        <rFont val="Meiryo UI"/>
        <family val="0"/>
        <charset val="1"/>
      </rPr>
      <t xml:space="preserve">58</t>
    </r>
    <r>
      <rPr>
        <sz val="10"/>
        <color rgb="FF1E2126"/>
        <rFont val="WenQuanYi Zen Hei"/>
        <family val="2"/>
      </rPr>
      <t xml:space="preserve">秒）。</t>
    </r>
    <r>
      <rPr>
        <sz val="10"/>
        <color rgb="FF1E2126"/>
        <rFont val="Meiryo UI"/>
        <family val="0"/>
        <charset val="1"/>
      </rPr>
      <t xml:space="preserve">60</t>
    </r>
    <r>
      <rPr>
        <sz val="10"/>
        <color rgb="FF1E2126"/>
        <rFont val="WenQuanYi Zen Hei"/>
        <family val="2"/>
      </rPr>
      <t xml:space="preserve">秒以内に編集して使う</t>
    </r>
  </si>
  <si>
    <r>
      <rPr>
        <sz val="10"/>
        <color rgb="FF1E2126"/>
        <rFont val="Meiryo UI"/>
        <family val="0"/>
        <charset val="1"/>
      </rPr>
      <t xml:space="preserve">60</t>
    </r>
    <r>
      <rPr>
        <sz val="10"/>
        <color rgb="FF1E2126"/>
        <rFont val="WenQuanYi Zen Hei"/>
        <family val="2"/>
      </rPr>
      <t xml:space="preserve">秒以内</t>
    </r>
  </si>
  <si>
    <t xml:space="preserve">IMAGE_PLACEHOLDER_02</t>
  </si>
  <si>
    <t xml:space="preserve">既設の回帰反射型センサ</t>
  </si>
  <si>
    <r>
      <rPr>
        <sz val="10"/>
        <color rgb="FF1E2126"/>
        <rFont val="Meiryo UI"/>
        <family val="0"/>
        <charset val="1"/>
      </rPr>
      <t xml:space="preserve">HEARING</t>
    </r>
    <r>
      <rPr>
        <sz val="10"/>
        <color rgb="FF1E2126"/>
        <rFont val="WenQuanYi Zen Hei"/>
        <family val="2"/>
      </rPr>
      <t xml:space="preserve">・</t>
    </r>
    <r>
      <rPr>
        <sz val="10"/>
        <color rgb="FF1E2126"/>
        <rFont val="Meiryo UI"/>
        <family val="0"/>
        <charset val="1"/>
      </rPr>
      <t xml:space="preserve">ANALYSIS</t>
    </r>
  </si>
  <si>
    <t xml:space="preserve">光の通り方とボトルの関係を説明する</t>
  </si>
  <si>
    <t xml:space="preserve">5.18×4.65</t>
  </si>
  <si>
    <t xml:space="preserve">1.11:1</t>
  </si>
  <si>
    <r>
      <rPr>
        <sz val="10"/>
        <color rgb="FF1E2126"/>
        <rFont val="Meiryo UI"/>
        <family val="0"/>
        <charset val="1"/>
      </rPr>
      <t xml:space="preserve">1554×1395</t>
    </r>
    <r>
      <rPr>
        <sz val="10"/>
        <color rgb="FF1E2126"/>
        <rFont val="WenQuanYi Zen Hei"/>
        <family val="2"/>
      </rPr>
      <t xml:space="preserve">以上</t>
    </r>
  </si>
  <si>
    <t xml:space="preserve">既存の導入動画「回帰反射型」の図</t>
  </si>
  <si>
    <t xml:space="preserve">4.78×2.69</t>
  </si>
  <si>
    <r>
      <rPr>
        <sz val="10"/>
        <color rgb="FF1E2126"/>
        <rFont val="Meiryo UI"/>
        <family val="0"/>
        <charset val="1"/>
      </rPr>
      <t xml:space="preserve">1434×807</t>
    </r>
    <r>
      <rPr>
        <sz val="10"/>
        <color rgb="FF1E2126"/>
        <rFont val="WenQuanYi Zen Hei"/>
        <family val="2"/>
      </rPr>
      <t xml:space="preserve">以上</t>
    </r>
  </si>
  <si>
    <t xml:space="preserve">VIDEO_PLACEHOLDER_02</t>
  </si>
  <si>
    <t xml:space="preserve">映像②　現場の観察（揺れ・間隔の詰まり）</t>
  </si>
  <si>
    <t xml:space="preserve">原因の候補を、答えを言わずに観察させる</t>
  </si>
  <si>
    <r>
      <rPr>
        <sz val="10"/>
        <color rgb="FF1E2126"/>
        <rFont val="WenQuanYi Zen Hei"/>
        <family val="2"/>
      </rPr>
      <t xml:space="preserve">既存クリップ </t>
    </r>
    <r>
      <rPr>
        <sz val="10"/>
        <color rgb="FF1E2126"/>
        <rFont val="Meiryo UI"/>
        <family val="0"/>
        <charset val="1"/>
      </rPr>
      <t xml:space="preserve">p1-q2-a</t>
    </r>
    <r>
      <rPr>
        <sz val="10"/>
        <color rgb="FF1E2126"/>
        <rFont val="WenQuanYi Zen Hei"/>
        <family val="2"/>
      </rPr>
      <t xml:space="preserve">・</t>
    </r>
    <r>
      <rPr>
        <sz val="10"/>
        <color rgb="FF1E2126"/>
        <rFont val="Meiryo UI"/>
        <family val="0"/>
        <charset val="1"/>
      </rPr>
      <t xml:space="preserve">p2-q1-a</t>
    </r>
    <r>
      <rPr>
        <sz val="10"/>
        <color rgb="FF1E2126"/>
        <rFont val="WenQuanYi Zen Hei"/>
        <family val="2"/>
      </rPr>
      <t xml:space="preserve">（ラインの様子）</t>
    </r>
  </si>
  <si>
    <r>
      <rPr>
        <sz val="10"/>
        <color rgb="FF1E2126"/>
        <rFont val="Meiryo UI"/>
        <family val="0"/>
        <charset val="1"/>
      </rPr>
      <t xml:space="preserve">30</t>
    </r>
    <r>
      <rPr>
        <sz val="10"/>
        <color rgb="FF1E2126"/>
        <rFont val="WenQuanYi Zen Hei"/>
        <family val="2"/>
      </rPr>
      <t xml:space="preserve">秒以内</t>
    </r>
  </si>
  <si>
    <t xml:space="preserve">IMAGE_PLACEHOLDER_03</t>
  </si>
  <si>
    <r>
      <rPr>
        <sz val="10"/>
        <color rgb="FF1E2126"/>
        <rFont val="Meiryo UI"/>
        <family val="0"/>
        <charset val="1"/>
      </rPr>
      <t xml:space="preserve">PET</t>
    </r>
    <r>
      <rPr>
        <sz val="10"/>
        <color rgb="FF1E2126"/>
        <rFont val="WenQuanYi Zen Hei"/>
        <family val="2"/>
      </rPr>
      <t xml:space="preserve">ボトルの誤検出</t>
    </r>
  </si>
  <si>
    <t xml:space="preserve">誤カウントが発生する様子を可視化する（仮説のイメージ）</t>
  </si>
  <si>
    <t xml:space="preserve">3.6×3.96</t>
  </si>
  <si>
    <t xml:space="preserve">0.91:1</t>
  </si>
  <si>
    <r>
      <rPr>
        <sz val="10"/>
        <color rgb="FF1E2126"/>
        <rFont val="Meiryo UI"/>
        <family val="0"/>
        <charset val="1"/>
      </rPr>
      <t xml:space="preserve">1080×1188</t>
    </r>
    <r>
      <rPr>
        <sz val="10"/>
        <color rgb="FF1E2126"/>
        <rFont val="WenQuanYi Zen Hei"/>
        <family val="2"/>
      </rPr>
      <t xml:space="preserve">以上</t>
    </r>
  </si>
  <si>
    <r>
      <rPr>
        <sz val="10"/>
        <color rgb="FF1E2126"/>
        <rFont val="WenQuanYi Zen Hei"/>
        <family val="2"/>
      </rPr>
      <t xml:space="preserve">既存スライド</t>
    </r>
    <r>
      <rPr>
        <sz val="10"/>
        <color rgb="FF1E2126"/>
        <rFont val="Meiryo UI"/>
        <family val="0"/>
        <charset val="1"/>
      </rPr>
      <t xml:space="preserve">20</t>
    </r>
    <r>
      <rPr>
        <sz val="10"/>
        <color rgb="FF1E2126"/>
        <rFont val="WenQuanYi Zen Hei"/>
        <family val="2"/>
      </rPr>
      <t xml:space="preserve">の図（ボトル下部の検出位置）</t>
    </r>
  </si>
  <si>
    <t xml:space="preserve">IMAGE_PLACEHOLDER_06</t>
  </si>
  <si>
    <t xml:space="preserve">お客様（佐藤さん・高橋さん）の人物</t>
  </si>
  <si>
    <t xml:space="preserve">「何とか対応できている」と話すお客様の表情を見せる</t>
  </si>
  <si>
    <t xml:space="preserve">3.3×3.4</t>
  </si>
  <si>
    <r>
      <rPr>
        <sz val="10"/>
        <color rgb="FF1E2126"/>
        <rFont val="Meiryo UI"/>
        <family val="0"/>
        <charset val="1"/>
      </rPr>
      <t xml:space="preserve">990×1020</t>
    </r>
    <r>
      <rPr>
        <sz val="10"/>
        <color rgb="FF1E2126"/>
        <rFont val="WenQuanYi Zen Hei"/>
        <family val="2"/>
      </rPr>
      <t xml:space="preserve">以上</t>
    </r>
  </si>
  <si>
    <t xml:space="preserve">IMAGE_PLACEHOLDER_04</t>
  </si>
  <si>
    <r>
      <rPr>
        <sz val="10"/>
        <color rgb="FF1E2126"/>
        <rFont val="Meiryo UI"/>
        <family val="0"/>
        <charset val="1"/>
      </rPr>
      <t xml:space="preserve">OPTEX-FA</t>
    </r>
    <r>
      <rPr>
        <sz val="10"/>
        <color rgb="FF1E2126"/>
        <rFont val="WenQuanYi Zen Hei"/>
        <family val="2"/>
      </rPr>
      <t xml:space="preserve">製品・検出原理</t>
    </r>
  </si>
  <si>
    <t xml:space="preserve">既設センサとの違いを視覚的に説明する</t>
  </si>
  <si>
    <t xml:space="preserve">4.4×2.9</t>
  </si>
  <si>
    <t xml:space="preserve">1.52:1</t>
  </si>
  <si>
    <r>
      <rPr>
        <sz val="10"/>
        <color rgb="FF1E2126"/>
        <rFont val="Meiryo UI"/>
        <family val="0"/>
        <charset val="1"/>
      </rPr>
      <t xml:space="preserve">1320×870</t>
    </r>
    <r>
      <rPr>
        <sz val="10"/>
        <color rgb="FF1E2126"/>
        <rFont val="WenQuanYi Zen Hei"/>
        <family val="2"/>
      </rPr>
      <t xml:space="preserve">以上</t>
    </r>
  </si>
  <si>
    <t xml:space="preserve">VIDEO_PLACEHOLDER_03</t>
  </si>
  <si>
    <r>
      <rPr>
        <sz val="10"/>
        <color rgb="FF1E2126"/>
        <rFont val="WenQuanYi Zen Hei"/>
        <family val="2"/>
      </rPr>
      <t xml:space="preserve">映像③　検出原理（既設と</t>
    </r>
    <r>
      <rPr>
        <sz val="10"/>
        <color rgb="FF1E2126"/>
        <rFont val="Meiryo UI"/>
        <family val="0"/>
        <charset val="1"/>
      </rPr>
      <t xml:space="preserve">KR-Q</t>
    </r>
    <r>
      <rPr>
        <sz val="10"/>
        <color rgb="FF1E2126"/>
        <rFont val="WenQuanYi Zen Hei"/>
        <family val="2"/>
      </rPr>
      <t xml:space="preserve">シリーズ）</t>
    </r>
  </si>
  <si>
    <t xml:space="preserve">確認済みの技術情報だけで、検出のしくみを比べる</t>
  </si>
  <si>
    <t xml:space="preserve">4.4×1.85</t>
  </si>
  <si>
    <t xml:space="preserve">2.38:1</t>
  </si>
  <si>
    <r>
      <rPr>
        <sz val="10"/>
        <color rgb="FF1E2126"/>
        <rFont val="Meiryo UI"/>
        <family val="0"/>
        <charset val="1"/>
      </rPr>
      <t xml:space="preserve">1320×555</t>
    </r>
    <r>
      <rPr>
        <sz val="10"/>
        <color rgb="FF1E2126"/>
        <rFont val="WenQuanYi Zen Hei"/>
        <family val="2"/>
      </rPr>
      <t xml:space="preserve">以上</t>
    </r>
  </si>
  <si>
    <r>
      <rPr>
        <sz val="10"/>
        <color rgb="FF1E2126"/>
        <rFont val="Meiryo UI"/>
        <family val="0"/>
        <charset val="1"/>
      </rPr>
      <t xml:space="preserve">45</t>
    </r>
    <r>
      <rPr>
        <sz val="10"/>
        <color rgb="FF1E2126"/>
        <rFont val="WenQuanYi Zen Hei"/>
        <family val="2"/>
      </rPr>
      <t xml:space="preserve">秒以内</t>
    </r>
  </si>
  <si>
    <t xml:space="preserve">IMAGE_PLACEHOLDER_07</t>
  </si>
  <si>
    <t xml:space="preserve">比較検証の設置図</t>
  </si>
  <si>
    <r>
      <rPr>
        <sz val="10"/>
        <color rgb="FF1E2126"/>
        <rFont val="WenQuanYi Zen Hei"/>
        <family val="2"/>
      </rPr>
      <t xml:space="preserve">同じ条件で</t>
    </r>
    <r>
      <rPr>
        <sz val="10"/>
        <color rgb="FF1E2126"/>
        <rFont val="Meiryo UI"/>
        <family val="0"/>
        <charset val="1"/>
      </rPr>
      <t xml:space="preserve">2</t>
    </r>
    <r>
      <rPr>
        <sz val="10"/>
        <color rgb="FF1E2126"/>
        <rFont val="WenQuanYi Zen Hei"/>
        <family val="2"/>
      </rPr>
      <t xml:space="preserve">つのセンサを比べる配置を示す</t>
    </r>
  </si>
  <si>
    <t xml:space="preserve">4.2×4.53</t>
  </si>
  <si>
    <t xml:space="preserve">0.93:1</t>
  </si>
  <si>
    <r>
      <rPr>
        <sz val="10"/>
        <color rgb="FF1E2126"/>
        <rFont val="Meiryo UI"/>
        <family val="0"/>
        <charset val="1"/>
      </rPr>
      <t xml:space="preserve">1260×1359</t>
    </r>
    <r>
      <rPr>
        <sz val="10"/>
        <color rgb="FF1E2126"/>
        <rFont val="WenQuanYi Zen Hei"/>
        <family val="2"/>
      </rPr>
      <t xml:space="preserve">以上</t>
    </r>
  </si>
  <si>
    <r>
      <rPr>
        <sz val="10"/>
        <color rgb="FF1E2126"/>
        <rFont val="WenQuanYi Zen Hei"/>
        <family val="2"/>
      </rPr>
      <t xml:space="preserve">既存スライド</t>
    </r>
    <r>
      <rPr>
        <sz val="10"/>
        <color rgb="FF1E2126"/>
        <rFont val="Meiryo UI"/>
        <family val="0"/>
        <charset val="1"/>
      </rPr>
      <t xml:space="preserve">46</t>
    </r>
    <r>
      <rPr>
        <sz val="10"/>
        <color rgb="FF1E2126"/>
        <rFont val="WenQuanYi Zen Hei"/>
        <family val="2"/>
      </rPr>
      <t xml:space="preserve">の設置図</t>
    </r>
  </si>
  <si>
    <t xml:space="preserve">VIDEO_PLACEHOLDER_04</t>
  </si>
  <si>
    <t xml:space="preserve">映像④　顧客との対話（反応）</t>
  </si>
  <si>
    <t xml:space="preserve">学生の提案のあとに、お客様の気持ちが動く場面を見せる</t>
  </si>
  <si>
    <t xml:space="preserve">4.6×2.6</t>
  </si>
  <si>
    <r>
      <rPr>
        <sz val="10"/>
        <color rgb="FF1E2126"/>
        <rFont val="Meiryo UI"/>
        <family val="0"/>
        <charset val="1"/>
      </rPr>
      <t xml:space="preserve">1380×780</t>
    </r>
    <r>
      <rPr>
        <sz val="10"/>
        <color rgb="FF1E2126"/>
        <rFont val="WenQuanYi Zen Hei"/>
        <family val="2"/>
      </rPr>
      <t xml:space="preserve">以上</t>
    </r>
  </si>
  <si>
    <t xml:space="preserve">IMAGE_PLACEHOLDER_05</t>
  </si>
  <si>
    <t xml:space="preserve">顧客と営業担当者の対話</t>
  </si>
  <si>
    <r>
      <rPr>
        <sz val="10"/>
        <color rgb="FF1E2126"/>
        <rFont val="Meiryo UI"/>
        <family val="0"/>
        <charset val="1"/>
      </rPr>
      <t xml:space="preserve">PROPOSAL</t>
    </r>
    <r>
      <rPr>
        <sz val="10"/>
        <color rgb="FF1E2126"/>
        <rFont val="WenQuanYi Zen Hei"/>
        <family val="2"/>
      </rPr>
      <t xml:space="preserve">・</t>
    </r>
    <r>
      <rPr>
        <sz val="10"/>
        <color rgb="FF1E2126"/>
        <rFont val="Meiryo UI"/>
        <family val="0"/>
        <charset val="1"/>
      </rPr>
      <t xml:space="preserve">REFLECTION</t>
    </r>
  </si>
  <si>
    <t xml:space="preserve">顧客の信頼獲得と営業の面白さを表現する</t>
  </si>
  <si>
    <t xml:space="preserve">4.6×2.1</t>
  </si>
  <si>
    <t xml:space="preserve">2.19:1</t>
  </si>
  <si>
    <r>
      <rPr>
        <sz val="10"/>
        <color rgb="FF1E2126"/>
        <rFont val="Meiryo UI"/>
        <family val="0"/>
        <charset val="1"/>
      </rPr>
      <t xml:space="preserve">1380×630</t>
    </r>
    <r>
      <rPr>
        <sz val="10"/>
        <color rgb="FF1E2126"/>
        <rFont val="WenQuanYi Zen Hei"/>
        <family val="2"/>
      </rPr>
      <t xml:space="preserve">以上</t>
    </r>
  </si>
  <si>
    <t xml:space="preserve">4.2×1.65</t>
  </si>
  <si>
    <t xml:space="preserve">2.55:1</t>
  </si>
  <si>
    <r>
      <rPr>
        <sz val="10"/>
        <color rgb="FF1E2126"/>
        <rFont val="Meiryo UI"/>
        <family val="0"/>
        <charset val="1"/>
      </rPr>
      <t xml:space="preserve">1260×495</t>
    </r>
    <r>
      <rPr>
        <sz val="10"/>
        <color rgb="FF1E2126"/>
        <rFont val="WenQuanYi Zen Hei"/>
        <family val="2"/>
      </rPr>
      <t xml:space="preserve">以上</t>
    </r>
  </si>
  <si>
    <t xml:space="preserve">IMAGE_PLACEHOLDER_08</t>
  </si>
  <si>
    <t xml:space="preserve">若手営業社員の写真</t>
  </si>
  <si>
    <t xml:space="preserve">学生が「自分もなれそう」と感じる実在の先輩を見せる</t>
  </si>
  <si>
    <t xml:space="preserve">3.6×4.5</t>
  </si>
  <si>
    <t xml:space="preserve">3:4</t>
  </si>
  <si>
    <r>
      <rPr>
        <sz val="10"/>
        <color rgb="FF1E2126"/>
        <rFont val="Meiryo UI"/>
        <family val="0"/>
        <charset val="1"/>
      </rPr>
      <t xml:space="preserve">1080×1350</t>
    </r>
    <r>
      <rPr>
        <sz val="10"/>
        <color rgb="FF1E2126"/>
        <rFont val="WenQuanYi Zen Hei"/>
        <family val="2"/>
      </rPr>
      <t xml:space="preserve">以上</t>
    </r>
  </si>
  <si>
    <t xml:space="preserve">VIDEO_PLACEHOLDER_05</t>
  </si>
  <si>
    <t xml:space="preserve">若手営業社員のメッセージ（任意）</t>
  </si>
  <si>
    <t xml:space="preserve">入社後の姿を具体的に想像させる</t>
  </si>
  <si>
    <t xml:space="preserve">4.2×2.36</t>
  </si>
  <si>
    <r>
      <rPr>
        <sz val="10"/>
        <color rgb="FF1E2126"/>
        <rFont val="Meiryo UI"/>
        <family val="0"/>
        <charset val="1"/>
      </rPr>
      <t xml:space="preserve">1260×708</t>
    </r>
    <r>
      <rPr>
        <sz val="10"/>
        <color rgb="FF1E2126"/>
        <rFont val="WenQuanYi Zen Hei"/>
        <family val="2"/>
      </rPr>
      <t xml:space="preserve">以上</t>
    </r>
  </si>
  <si>
    <t xml:space="preserve">IMAGE_PLACEHOLDER_10</t>
  </si>
  <si>
    <r>
      <rPr>
        <sz val="10"/>
        <color rgb="FF1E2126"/>
        <rFont val="WenQuanYi Zen Hei"/>
        <family val="2"/>
      </rPr>
      <t xml:space="preserve">事後アンケート・次回ステップ申込の</t>
    </r>
    <r>
      <rPr>
        <sz val="10"/>
        <color rgb="FF1E2126"/>
        <rFont val="Meiryo UI"/>
        <family val="0"/>
        <charset val="1"/>
      </rPr>
      <t xml:space="preserve">QR</t>
    </r>
    <r>
      <rPr>
        <sz val="10"/>
        <color rgb="FF1E2126"/>
        <rFont val="WenQuanYi Zen Hei"/>
        <family val="2"/>
      </rPr>
      <t xml:space="preserve">コード</t>
    </r>
  </si>
  <si>
    <t xml:space="preserve">体験直後に回答と申込をしてもらう</t>
  </si>
  <si>
    <t xml:space="preserve">IMAGE_PLACEHOLDER_11</t>
  </si>
  <si>
    <r>
      <rPr>
        <sz val="10"/>
        <color rgb="FF1E2126"/>
        <rFont val="WenQuanYi Zen Hei"/>
        <family val="2"/>
      </rPr>
      <t xml:space="preserve">比較デモの</t>
    </r>
    <r>
      <rPr>
        <sz val="10"/>
        <color rgb="FF1E2126"/>
        <rFont val="Meiryo UI"/>
        <family val="0"/>
        <charset val="1"/>
      </rPr>
      <t xml:space="preserve">4</t>
    </r>
    <r>
      <rPr>
        <sz val="10"/>
        <color rgb="FF1E2126"/>
        <rFont val="WenQuanYi Zen Hei"/>
        <family val="2"/>
      </rPr>
      <t xml:space="preserve">条件（通常・揺れ・間隔・高さ）</t>
    </r>
  </si>
  <si>
    <t xml:space="preserve">補足資料</t>
  </si>
  <si>
    <t xml:space="preserve">X04</t>
  </si>
  <si>
    <t xml:space="preserve">検証で変える条件を説明する</t>
  </si>
  <si>
    <t xml:space="preserve">2.85×2.18</t>
  </si>
  <si>
    <t xml:space="preserve">4:3</t>
  </si>
  <si>
    <r>
      <rPr>
        <sz val="10"/>
        <color rgb="FF1E2126"/>
        <rFont val="Meiryo UI"/>
        <family val="0"/>
        <charset val="1"/>
      </rPr>
      <t xml:space="preserve">855×654</t>
    </r>
    <r>
      <rPr>
        <sz val="10"/>
        <color rgb="FF1E2126"/>
        <rFont val="WenQuanYi Zen Hei"/>
        <family val="2"/>
      </rPr>
      <t xml:space="preserve">以上</t>
    </r>
  </si>
  <si>
    <r>
      <rPr>
        <sz val="10"/>
        <color rgb="FF1E2126"/>
        <rFont val="WenQuanYi Zen Hei"/>
        <family val="2"/>
      </rPr>
      <t xml:space="preserve">既存スライド</t>
    </r>
    <r>
      <rPr>
        <sz val="10"/>
        <color rgb="FF1E2126"/>
        <rFont val="Meiryo UI"/>
        <family val="0"/>
        <charset val="1"/>
      </rPr>
      <t xml:space="preserve">65</t>
    </r>
    <r>
      <rPr>
        <sz val="10"/>
        <color rgb="FF1E2126"/>
        <rFont val="WenQuanYi Zen Hei"/>
        <family val="2"/>
      </rPr>
      <t xml:space="preserve">〜</t>
    </r>
    <r>
      <rPr>
        <sz val="10"/>
        <color rgb="FF1E2126"/>
        <rFont val="Meiryo UI"/>
        <family val="0"/>
        <charset val="1"/>
      </rPr>
      <t xml:space="preserve">68</t>
    </r>
    <r>
      <rPr>
        <sz val="10"/>
        <color rgb="FF1E2126"/>
        <rFont val="WenQuanYi Zen Hei"/>
        <family val="2"/>
      </rPr>
      <t xml:space="preserve">の図（「間隔の変化」は描き直しが必要）</t>
    </r>
  </si>
  <si>
    <r>
      <rPr>
        <b val="true"/>
        <sz val="10"/>
        <rFont val="WenQuanYi Zen Hei"/>
        <family val="2"/>
      </rPr>
      <t xml:space="preserve">差し替えのルール（指示書</t>
    </r>
    <r>
      <rPr>
        <b val="true"/>
        <sz val="10"/>
        <rFont val="Meiryo UI"/>
        <family val="0"/>
        <charset val="1"/>
      </rPr>
      <t xml:space="preserve">14</t>
    </r>
    <r>
      <rPr>
        <b val="true"/>
        <sz val="10"/>
        <rFont val="WenQuanYi Zen Hei"/>
        <family val="2"/>
      </rPr>
      <t xml:space="preserve">章）</t>
    </r>
  </si>
  <si>
    <r>
      <rPr>
        <sz val="10"/>
        <rFont val="Meiryo UI"/>
        <family val="0"/>
        <charset val="1"/>
      </rPr>
      <t xml:space="preserve">1. </t>
    </r>
    <r>
      <rPr>
        <sz val="10"/>
        <rFont val="WenQuanYi Zen Hei"/>
        <family val="2"/>
      </rPr>
      <t xml:space="preserve">指定画像を最優先し、仮画像を置き換える。被写体・形状・重要なディテールは加工しない</t>
    </r>
  </si>
  <si>
    <r>
      <rPr>
        <sz val="10"/>
        <rFont val="Meiryo UI"/>
        <family val="0"/>
        <charset val="1"/>
      </rPr>
      <t xml:space="preserve">2. </t>
    </r>
    <r>
      <rPr>
        <sz val="10"/>
        <rFont val="WenQuanYi Zen Hei"/>
        <family val="2"/>
      </rPr>
      <t xml:space="preserve">縦横比を保つ（引き伸ばさない）。比率が枠と違うときは、枠の中に収めて余白を背景色で埋める</t>
    </r>
  </si>
  <si>
    <r>
      <rPr>
        <sz val="10"/>
        <rFont val="Meiryo UI"/>
        <family val="0"/>
        <charset val="1"/>
      </rPr>
      <t xml:space="preserve">3. </t>
    </r>
    <r>
      <rPr>
        <sz val="10"/>
        <rFont val="WenQuanYi Zen Hei"/>
        <family val="2"/>
      </rPr>
      <t xml:space="preserve">背景透過画像は透明部分を保つ</t>
    </r>
  </si>
  <si>
    <r>
      <rPr>
        <sz val="10"/>
        <rFont val="Meiryo UI"/>
        <family val="0"/>
        <charset val="1"/>
      </rPr>
      <t xml:space="preserve">4. </t>
    </r>
    <r>
      <rPr>
        <sz val="10"/>
        <rFont val="WenQuanYi Zen Hei"/>
        <family val="2"/>
      </rPr>
      <t xml:space="preserve">既存デザインとの統一感は、背景・余白・文字配置で調整する</t>
    </r>
  </si>
  <si>
    <r>
      <rPr>
        <sz val="10"/>
        <rFont val="Meiryo UI"/>
        <family val="0"/>
        <charset val="1"/>
      </rPr>
      <t xml:space="preserve">5. </t>
    </r>
    <r>
      <rPr>
        <sz val="10"/>
        <rFont val="WenQuanYi Zen Hei"/>
        <family val="2"/>
      </rPr>
      <t xml:space="preserve">動画は「長さの上限」以内。上限を超える場合は「</t>
    </r>
    <r>
      <rPr>
        <sz val="10"/>
        <rFont val="Meiryo UI"/>
        <family val="0"/>
        <charset val="1"/>
      </rPr>
      <t xml:space="preserve">4_</t>
    </r>
    <r>
      <rPr>
        <sz val="10"/>
        <rFont val="WenQuanYi Zen Hei"/>
        <family val="2"/>
      </rPr>
      <t xml:space="preserve">講師用進行台本」の所要時間を見直す</t>
    </r>
  </si>
  <si>
    <r>
      <rPr>
        <sz val="10"/>
        <rFont val="Meiryo UI"/>
        <family val="0"/>
        <charset val="1"/>
      </rPr>
      <t xml:space="preserve">6. </t>
    </r>
    <r>
      <rPr>
        <sz val="10"/>
        <rFont val="WenQuanYi Zen Hei"/>
        <family val="2"/>
      </rPr>
      <t xml:space="preserve">追加の画像・動画は </t>
    </r>
    <r>
      <rPr>
        <sz val="10"/>
        <rFont val="Meiryo UI"/>
        <family val="0"/>
        <charset val="1"/>
      </rPr>
      <t xml:space="preserve">IMAGE_PLACEHOLDER_12</t>
    </r>
    <r>
      <rPr>
        <sz val="10"/>
        <rFont val="WenQuanYi Zen Hei"/>
        <family val="2"/>
      </rPr>
      <t xml:space="preserve">／</t>
    </r>
    <r>
      <rPr>
        <sz val="10"/>
        <rFont val="Meiryo UI"/>
        <family val="0"/>
        <charset val="1"/>
      </rPr>
      <t xml:space="preserve">VIDEO_PLACEHOLDER_06 </t>
    </r>
    <r>
      <rPr>
        <sz val="10"/>
        <rFont val="WenQuanYi Zen Hei"/>
        <family val="2"/>
      </rPr>
      <t xml:space="preserve">から連番で、この表に行を足す</t>
    </r>
  </si>
  <si>
    <t xml:space="preserve">状況ごとの件数</t>
  </si>
  <si>
    <t xml:space="preserve">素材受領</t>
  </si>
  <si>
    <t xml:space="preserve">差し替え済み</t>
  </si>
  <si>
    <t xml:space="preserve">確認済み</t>
  </si>
  <si>
    <t xml:space="preserve">成果物⑥　品質確認</t>
  </si>
  <si>
    <t xml:space="preserve">○＝満たす　△＝条件付き・素材待ち</t>
  </si>
  <si>
    <t xml:space="preserve">確認項目</t>
  </si>
  <si>
    <t xml:space="preserve">確認した内容</t>
  </si>
  <si>
    <t xml:space="preserve">判定</t>
  </si>
  <si>
    <t xml:space="preserve">残る課題・前提</t>
  </si>
  <si>
    <r>
      <rPr>
        <sz val="10"/>
        <color rgb="FF1E2126"/>
        <rFont val="Meiryo UI"/>
        <family val="0"/>
        <charset val="1"/>
      </rPr>
      <t xml:space="preserve">60</t>
    </r>
    <r>
      <rPr>
        <sz val="10"/>
        <color rgb="FF1E2126"/>
        <rFont val="WenQuanYi Zen Hei"/>
        <family val="2"/>
      </rPr>
      <t xml:space="preserve">分以内に終了するか</t>
    </r>
  </si>
  <si>
    <r>
      <rPr>
        <sz val="10"/>
        <color rgb="FF1E2126"/>
        <rFont val="WenQuanYi Zen Hei"/>
        <family val="2"/>
      </rPr>
      <t xml:space="preserve">本編</t>
    </r>
    <r>
      <rPr>
        <sz val="10"/>
        <color rgb="FF1E2126"/>
        <rFont val="Meiryo UI"/>
        <family val="0"/>
        <charset val="1"/>
      </rPr>
      <t xml:space="preserve">45</t>
    </r>
    <r>
      <rPr>
        <sz val="10"/>
        <color rgb="FF1E2126"/>
        <rFont val="WenQuanYi Zen Hei"/>
        <family val="2"/>
      </rPr>
      <t xml:space="preserve">枚の所要時間の合計は</t>
    </r>
    <r>
      <rPr>
        <sz val="10"/>
        <color rgb="FF1E2126"/>
        <rFont val="Meiryo UI"/>
        <family val="0"/>
        <charset val="1"/>
      </rPr>
      <t xml:space="preserve">60</t>
    </r>
    <r>
      <rPr>
        <sz val="10"/>
        <color rgb="FF1E2126"/>
        <rFont val="WenQuanYi Zen Hei"/>
        <family val="2"/>
      </rPr>
      <t xml:space="preserve">分（各フェーズの時間枠と一致）。ただし余裕はない。「省略候補」を使うと最大約</t>
    </r>
    <r>
      <rPr>
        <sz val="10"/>
        <color rgb="FF1E2126"/>
        <rFont val="Meiryo UI"/>
        <family val="0"/>
        <charset val="1"/>
      </rPr>
      <t xml:space="preserve">7</t>
    </r>
    <r>
      <rPr>
        <sz val="10"/>
        <color rgb="FF1E2126"/>
        <rFont val="WenQuanYi Zen Hei"/>
        <family val="2"/>
      </rPr>
      <t xml:space="preserve">分短縮できる</t>
    </r>
  </si>
  <si>
    <t xml:space="preserve">△（余裕なし）</t>
  </si>
  <si>
    <r>
      <rPr>
        <sz val="10"/>
        <color rgb="FF1E2126"/>
        <rFont val="WenQuanYi Zen Hei"/>
        <family val="2"/>
      </rPr>
      <t xml:space="preserve">講師台本の「時間超過時の調整」列。当日は</t>
    </r>
    <r>
      <rPr>
        <sz val="10"/>
        <color rgb="FF1E2126"/>
        <rFont val="Meiryo UI"/>
        <family val="0"/>
        <charset val="1"/>
      </rPr>
      <t xml:space="preserve">S19</t>
    </r>
    <r>
      <rPr>
        <sz val="10"/>
        <color rgb="FF1E2126"/>
        <rFont val="WenQuanYi Zen Hei"/>
        <family val="2"/>
      </rPr>
      <t xml:space="preserve">・</t>
    </r>
    <r>
      <rPr>
        <sz val="10"/>
        <color rgb="FF1E2126"/>
        <rFont val="Meiryo UI"/>
        <family val="0"/>
        <charset val="1"/>
      </rPr>
      <t xml:space="preserve">S44</t>
    </r>
    <r>
      <rPr>
        <sz val="10"/>
        <color rgb="FF1E2126"/>
        <rFont val="WenQuanYi Zen Hei"/>
        <family val="2"/>
      </rPr>
      <t xml:space="preserve">・</t>
    </r>
    <r>
      <rPr>
        <sz val="10"/>
        <color rgb="FF1E2126"/>
        <rFont val="Meiryo UI"/>
        <family val="0"/>
        <charset val="1"/>
      </rPr>
      <t xml:space="preserve">S26</t>
    </r>
    <r>
      <rPr>
        <sz val="10"/>
        <color rgb="FF1E2126"/>
        <rFont val="WenQuanYi Zen Hei"/>
        <family val="2"/>
      </rPr>
      <t xml:space="preserve">右側・</t>
    </r>
    <r>
      <rPr>
        <sz val="10"/>
        <color rgb="FF1E2126"/>
        <rFont val="Meiryo UI"/>
        <family val="0"/>
        <charset val="1"/>
      </rPr>
      <t xml:space="preserve">S09</t>
    </r>
    <r>
      <rPr>
        <sz val="10"/>
        <color rgb="FF1E2126"/>
        <rFont val="WenQuanYi Zen Hei"/>
        <family val="2"/>
      </rPr>
      <t xml:space="preserve">から削る</t>
    </r>
  </si>
  <si>
    <t xml:space="preserve">学生が自ら考える場面があるか</t>
  </si>
  <si>
    <r>
      <rPr>
        <sz val="10"/>
        <color rgb="FF1E2126"/>
        <rFont val="Meiryo UI"/>
        <family val="0"/>
        <charset val="1"/>
      </rPr>
      <t xml:space="preserve">3</t>
    </r>
    <r>
      <rPr>
        <sz val="10"/>
        <color rgb="FF1E2126"/>
        <rFont val="WenQuanYi Zen Hei"/>
        <family val="2"/>
      </rPr>
      <t xml:space="preserve">択</t>
    </r>
    <r>
      <rPr>
        <sz val="10"/>
        <color rgb="FF1E2126"/>
        <rFont val="Meiryo UI"/>
        <family val="0"/>
        <charset val="1"/>
      </rPr>
      <t xml:space="preserve">3</t>
    </r>
    <r>
      <rPr>
        <sz val="10"/>
        <color rgb="FF1E2126"/>
        <rFont val="WenQuanYi Zen Hei"/>
        <family val="2"/>
      </rPr>
      <t xml:space="preserve">回（</t>
    </r>
    <r>
      <rPr>
        <sz val="10"/>
        <color rgb="FF1E2126"/>
        <rFont val="Meiryo UI"/>
        <family val="0"/>
        <charset val="1"/>
      </rPr>
      <t xml:space="preserve">S06</t>
    </r>
    <r>
      <rPr>
        <sz val="10"/>
        <color rgb="FF1E2126"/>
        <rFont val="WenQuanYi Zen Hei"/>
        <family val="2"/>
      </rPr>
      <t xml:space="preserve">・</t>
    </r>
    <r>
      <rPr>
        <sz val="10"/>
        <color rgb="FF1E2126"/>
        <rFont val="Meiryo UI"/>
        <family val="0"/>
        <charset val="1"/>
      </rPr>
      <t xml:space="preserve">S10</t>
    </r>
    <r>
      <rPr>
        <sz val="10"/>
        <color rgb="FF1E2126"/>
        <rFont val="WenQuanYi Zen Hei"/>
        <family val="2"/>
      </rPr>
      <t xml:space="preserve">・</t>
    </r>
    <r>
      <rPr>
        <sz val="10"/>
        <color rgb="FF1E2126"/>
        <rFont val="Meiryo UI"/>
        <family val="0"/>
        <charset val="1"/>
      </rPr>
      <t xml:space="preserve">S20</t>
    </r>
    <r>
      <rPr>
        <sz val="10"/>
        <color rgb="FF1E2126"/>
        <rFont val="WenQuanYi Zen Hei"/>
        <family val="2"/>
      </rPr>
      <t xml:space="preserve">）→ 自由記述</t>
    </r>
    <r>
      <rPr>
        <sz val="10"/>
        <color rgb="FF1E2126"/>
        <rFont val="Meiryo UI"/>
        <family val="0"/>
        <charset val="1"/>
      </rPr>
      <t xml:space="preserve">4</t>
    </r>
    <r>
      <rPr>
        <sz val="10"/>
        <color rgb="FF1E2126"/>
        <rFont val="WenQuanYi Zen Hei"/>
        <family val="2"/>
      </rPr>
      <t xml:space="preserve">回（</t>
    </r>
    <r>
      <rPr>
        <sz val="10"/>
        <color rgb="FF1E2126"/>
        <rFont val="Meiryo UI"/>
        <family val="0"/>
        <charset val="1"/>
      </rPr>
      <t xml:space="preserve">S16</t>
    </r>
    <r>
      <rPr>
        <sz val="10"/>
        <color rgb="FF1E2126"/>
        <rFont val="WenQuanYi Zen Hei"/>
        <family val="2"/>
      </rPr>
      <t xml:space="preserve">・</t>
    </r>
    <r>
      <rPr>
        <sz val="10"/>
        <color rgb="FF1E2126"/>
        <rFont val="Meiryo UI"/>
        <family val="0"/>
        <charset val="1"/>
      </rPr>
      <t xml:space="preserve">S22</t>
    </r>
    <r>
      <rPr>
        <sz val="10"/>
        <color rgb="FF1E2126"/>
        <rFont val="WenQuanYi Zen Hei"/>
        <family val="2"/>
      </rPr>
      <t xml:space="preserve">・</t>
    </r>
    <r>
      <rPr>
        <sz val="10"/>
        <color rgb="FF1E2126"/>
        <rFont val="Meiryo UI"/>
        <family val="0"/>
        <charset val="1"/>
      </rPr>
      <t xml:space="preserve">S25</t>
    </r>
    <r>
      <rPr>
        <sz val="10"/>
        <color rgb="FF1E2126"/>
        <rFont val="WenQuanYi Zen Hei"/>
        <family val="2"/>
      </rPr>
      <t xml:space="preserve">・</t>
    </r>
    <r>
      <rPr>
        <sz val="10"/>
        <color rgb="FF1E2126"/>
        <rFont val="Meiryo UI"/>
        <family val="0"/>
        <charset val="1"/>
      </rPr>
      <t xml:space="preserve">S27</t>
    </r>
    <r>
      <rPr>
        <sz val="10"/>
        <color rgb="FF1E2126"/>
        <rFont val="WenQuanYi Zen Hei"/>
        <family val="2"/>
      </rPr>
      <t xml:space="preserve">）→ 模擬提案（</t>
    </r>
    <r>
      <rPr>
        <sz val="10"/>
        <color rgb="FF1E2126"/>
        <rFont val="Meiryo UI"/>
        <family val="0"/>
        <charset val="1"/>
      </rPr>
      <t xml:space="preserve">S35</t>
    </r>
    <r>
      <rPr>
        <sz val="10"/>
        <color rgb="FF1E2126"/>
        <rFont val="WenQuanYi Zen Hei"/>
        <family val="2"/>
      </rPr>
      <t xml:space="preserve">・</t>
    </r>
    <r>
      <rPr>
        <sz val="10"/>
        <color rgb="FF1E2126"/>
        <rFont val="Meiryo UI"/>
        <family val="0"/>
        <charset val="1"/>
      </rPr>
      <t xml:space="preserve">S36</t>
    </r>
    <r>
      <rPr>
        <sz val="10"/>
        <color rgb="FF1E2126"/>
        <rFont val="WenQuanYi Zen Hei"/>
        <family val="2"/>
      </rPr>
      <t xml:space="preserve">）→ ふりかえり（</t>
    </r>
    <r>
      <rPr>
        <sz val="10"/>
        <color rgb="FF1E2126"/>
        <rFont val="Meiryo UI"/>
        <family val="0"/>
        <charset val="1"/>
      </rPr>
      <t xml:space="preserve">S41</t>
    </r>
    <r>
      <rPr>
        <sz val="10"/>
        <color rgb="FF1E2126"/>
        <rFont val="WenQuanYi Zen Hei"/>
        <family val="2"/>
      </rPr>
      <t xml:space="preserve">）。学生が手を動かす時間は約</t>
    </r>
    <r>
      <rPr>
        <sz val="10"/>
        <color rgb="FF1E2126"/>
        <rFont val="Meiryo UI"/>
        <family val="0"/>
        <charset val="1"/>
      </rPr>
      <t xml:space="preserve">22</t>
    </r>
    <r>
      <rPr>
        <sz val="10"/>
        <color rgb="FF1E2126"/>
        <rFont val="WenQuanYi Zen Hei"/>
        <family val="2"/>
      </rPr>
      <t xml:space="preserve">分</t>
    </r>
  </si>
  <si>
    <t xml:space="preserve">○</t>
  </si>
  <si>
    <t xml:space="preserve">後半ほど自由度が上がる（選ぶ→考える→発見する→提案する）</t>
  </si>
  <si>
    <t xml:space="preserve">顧客の真の課題が理解できるか</t>
  </si>
  <si>
    <r>
      <rPr>
        <sz val="10"/>
        <color rgb="FF1E2126"/>
        <rFont val="Meiryo UI"/>
        <family val="0"/>
        <charset val="1"/>
      </rPr>
      <t xml:space="preserve">S25</t>
    </r>
    <r>
      <rPr>
        <sz val="10"/>
        <color rgb="FF1E2126"/>
        <rFont val="WenQuanYi Zen Hei"/>
        <family val="2"/>
      </rPr>
      <t xml:space="preserve">〜</t>
    </r>
    <r>
      <rPr>
        <sz val="10"/>
        <color rgb="FF1E2126"/>
        <rFont val="Meiryo UI"/>
        <family val="0"/>
        <charset val="1"/>
      </rPr>
      <t xml:space="preserve">S30</t>
    </r>
    <r>
      <rPr>
        <sz val="10"/>
        <color rgb="FF1E2126"/>
        <rFont val="WenQuanYi Zen Hei"/>
        <family val="2"/>
      </rPr>
      <t xml:space="preserve">の</t>
    </r>
    <r>
      <rPr>
        <sz val="10"/>
        <color rgb="FF1E2126"/>
        <rFont val="Meiryo UI"/>
        <family val="0"/>
        <charset val="1"/>
      </rPr>
      <t xml:space="preserve">6</t>
    </r>
    <r>
      <rPr>
        <sz val="10"/>
        <color rgb="FF1E2126"/>
        <rFont val="WenQuanYi Zen Hei"/>
        <family val="2"/>
      </rPr>
      <t xml:space="preserve">枚・</t>
    </r>
    <r>
      <rPr>
        <sz val="10"/>
        <color rgb="FF1E2126"/>
        <rFont val="Meiryo UI"/>
        <family val="0"/>
        <charset val="1"/>
      </rPr>
      <t xml:space="preserve">10</t>
    </r>
    <r>
      <rPr>
        <sz val="10"/>
        <color rgb="FF1E2126"/>
        <rFont val="WenQuanYi Zen Hei"/>
        <family val="2"/>
      </rPr>
      <t xml:space="preserve">分を中心に配置。答え（安定した生産）は学生が考えたあと（</t>
    </r>
    <r>
      <rPr>
        <sz val="10"/>
        <color rgb="FF1E2126"/>
        <rFont val="Meiryo UI"/>
        <family val="0"/>
        <charset val="1"/>
      </rPr>
      <t xml:space="preserve">S29</t>
    </r>
    <r>
      <rPr>
        <sz val="10"/>
        <color rgb="FF1E2126"/>
        <rFont val="WenQuanYi Zen Hei"/>
        <family val="2"/>
      </rPr>
      <t xml:space="preserve">）に初めて表示</t>
    </r>
  </si>
  <si>
    <t xml:space="preserve">導入動画に答えが先に出る場面があるため、編集が必要（要確認事項）</t>
  </si>
  <si>
    <t xml:space="preserve">技術的な説明に矛盾がないか</t>
  </si>
  <si>
    <t xml:space="preserve">原因はすべて「候補（仮説）」と表示。「接近」は少なく数える方向にも働くことを明記。シミュレーションは「仮説検証用のイメージ」と明記。製品の数値は載せていない</t>
  </si>
  <si>
    <t xml:space="preserve">○（条件付き）</t>
  </si>
  <si>
    <r>
      <rPr>
        <sz val="10"/>
        <color rgb="FF1E2126"/>
        <rFont val="WenQuanYi Zen Hei"/>
        <family val="2"/>
      </rPr>
      <t xml:space="preserve">既存スライド</t>
    </r>
    <r>
      <rPr>
        <sz val="10"/>
        <color rgb="FF1E2126"/>
        <rFont val="Meiryo UI"/>
        <family val="0"/>
        <charset val="1"/>
      </rPr>
      <t xml:space="preserve">67</t>
    </r>
    <r>
      <rPr>
        <sz val="10"/>
        <color rgb="FF1E2126"/>
        <rFont val="WenQuanYi Zen Hei"/>
        <family val="2"/>
      </rPr>
      <t xml:space="preserve">の重なった描写は補足に移し、修正が必要と明記。製品情報は公式ページでの照合が残る</t>
    </r>
  </si>
  <si>
    <t xml:space="preserve">提案までの論理が成立しているか</t>
  </si>
  <si>
    <r>
      <rPr>
        <sz val="10"/>
        <color rgb="FF1E2126"/>
        <rFont val="WenQuanYi Zen Hei"/>
        <family val="2"/>
      </rPr>
      <t xml:space="preserve">顧客要求（</t>
    </r>
    <r>
      <rPr>
        <sz val="10"/>
        <color rgb="FF1E2126"/>
        <rFont val="Meiryo UI"/>
        <family val="0"/>
        <charset val="1"/>
      </rPr>
      <t xml:space="preserve">S30</t>
    </r>
    <r>
      <rPr>
        <sz val="10"/>
        <color rgb="FF1E2126"/>
        <rFont val="WenQuanYi Zen Hei"/>
        <family val="2"/>
      </rPr>
      <t xml:space="preserve">）→ </t>
    </r>
    <r>
      <rPr>
        <sz val="10"/>
        <color rgb="FF1E2126"/>
        <rFont val="Meiryo UI"/>
        <family val="0"/>
        <charset val="1"/>
      </rPr>
      <t xml:space="preserve">6</t>
    </r>
    <r>
      <rPr>
        <sz val="10"/>
        <color rgb="FF1E2126"/>
        <rFont val="WenQuanYi Zen Hei"/>
        <family val="2"/>
      </rPr>
      <t xml:space="preserve">ステップ（</t>
    </r>
    <r>
      <rPr>
        <sz val="10"/>
        <color rgb="FF1E2126"/>
        <rFont val="Meiryo UI"/>
        <family val="0"/>
        <charset val="1"/>
      </rPr>
      <t xml:space="preserve">S32</t>
    </r>
    <r>
      <rPr>
        <sz val="10"/>
        <color rgb="FF1E2126"/>
        <rFont val="WenQuanYi Zen Hei"/>
        <family val="2"/>
      </rPr>
      <t xml:space="preserve">）→ 候補（</t>
    </r>
    <r>
      <rPr>
        <sz val="10"/>
        <color rgb="FF1E2126"/>
        <rFont val="Meiryo UI"/>
        <family val="0"/>
        <charset val="1"/>
      </rPr>
      <t xml:space="preserve">S33</t>
    </r>
    <r>
      <rPr>
        <sz val="10"/>
        <color rgb="FF1E2126"/>
        <rFont val="WenQuanYi Zen Hei"/>
        <family val="2"/>
      </rPr>
      <t xml:space="preserve">）→ 検証計画と合格基準（</t>
    </r>
    <r>
      <rPr>
        <sz val="10"/>
        <color rgb="FF1E2126"/>
        <rFont val="Meiryo UI"/>
        <family val="0"/>
        <charset val="1"/>
      </rPr>
      <t xml:space="preserve">S34</t>
    </r>
    <r>
      <rPr>
        <sz val="10"/>
        <color rgb="FF1E2126"/>
        <rFont val="WenQuanYi Zen Hei"/>
        <family val="2"/>
      </rPr>
      <t xml:space="preserve">）→ 提案（</t>
    </r>
    <r>
      <rPr>
        <sz val="10"/>
        <color rgb="FF1E2126"/>
        <rFont val="Meiryo UI"/>
        <family val="0"/>
        <charset val="1"/>
      </rPr>
      <t xml:space="preserve">S35</t>
    </r>
    <r>
      <rPr>
        <sz val="10"/>
        <color rgb="FF1E2126"/>
        <rFont val="WenQuanYi Zen Hei"/>
        <family val="2"/>
      </rPr>
      <t xml:space="preserve">・</t>
    </r>
    <r>
      <rPr>
        <sz val="10"/>
        <color rgb="FF1E2126"/>
        <rFont val="Meiryo UI"/>
        <family val="0"/>
        <charset val="1"/>
      </rPr>
      <t xml:space="preserve">S36</t>
    </r>
    <r>
      <rPr>
        <sz val="10"/>
        <color rgb="FF1E2126"/>
        <rFont val="WenQuanYi Zen Hei"/>
        <family val="2"/>
      </rPr>
      <t xml:space="preserve">）→ 合意（</t>
    </r>
    <r>
      <rPr>
        <sz val="10"/>
        <color rgb="FF1E2126"/>
        <rFont val="Meiryo UI"/>
        <family val="0"/>
        <charset val="1"/>
      </rPr>
      <t xml:space="preserve">S38</t>
    </r>
    <r>
      <rPr>
        <sz val="10"/>
        <color rgb="FF1E2126"/>
        <rFont val="WenQuanYi Zen Hei"/>
        <family val="2"/>
      </rPr>
      <t xml:space="preserve">）。「他社製だから」「必ず解決」の表現なし</t>
    </r>
  </si>
  <si>
    <t xml:space="preserve">営業の達成感を得られるか</t>
  </si>
  <si>
    <r>
      <rPr>
        <sz val="10"/>
        <color rgb="FF1E2126"/>
        <rFont val="WenQuanYi Zen Hei"/>
        <family val="2"/>
      </rPr>
      <t xml:space="preserve">学生の発表（</t>
    </r>
    <r>
      <rPr>
        <sz val="10"/>
        <color rgb="FF1E2126"/>
        <rFont val="Meiryo UI"/>
        <family val="0"/>
        <charset val="1"/>
      </rPr>
      <t xml:space="preserve">S36</t>
    </r>
    <r>
      <rPr>
        <sz val="10"/>
        <color rgb="FF1E2126"/>
        <rFont val="WenQuanYi Zen Hei"/>
        <family val="2"/>
      </rPr>
      <t xml:space="preserve">）のあとに、お客様の前向きな反応（</t>
    </r>
    <r>
      <rPr>
        <sz val="10"/>
        <color rgb="FF1E2126"/>
        <rFont val="Meiryo UI"/>
        <family val="0"/>
        <charset val="1"/>
      </rPr>
      <t xml:space="preserve">S37</t>
    </r>
    <r>
      <rPr>
        <sz val="10"/>
        <color rgb="FF1E2126"/>
        <rFont val="WenQuanYi Zen Hei"/>
        <family val="2"/>
      </rPr>
      <t xml:space="preserve">）と「次の一歩を任される」場面（</t>
    </r>
    <r>
      <rPr>
        <sz val="10"/>
        <color rgb="FF1E2126"/>
        <rFont val="Meiryo UI"/>
        <family val="0"/>
        <charset val="1"/>
      </rPr>
      <t xml:space="preserve">S38</t>
    </r>
    <r>
      <rPr>
        <sz val="10"/>
        <color rgb="FF1E2126"/>
        <rFont val="WenQuanYi Zen Hei"/>
        <family val="2"/>
      </rPr>
      <t xml:space="preserve">）を置いた</t>
    </r>
  </si>
  <si>
    <t xml:space="preserve">顧客役の社員が、学生の提案の良い点を具体的に返すことが前提</t>
  </si>
  <si>
    <t xml:space="preserve">採用への接続が自然か</t>
  </si>
  <si>
    <r>
      <rPr>
        <sz val="10"/>
        <color rgb="FF1E2126"/>
        <rFont val="WenQuanYi Zen Hei"/>
        <family val="2"/>
      </rPr>
      <t xml:space="preserve">メッセージ（</t>
    </r>
    <r>
      <rPr>
        <sz val="10"/>
        <color rgb="FF1E2126"/>
        <rFont val="Meiryo UI"/>
        <family val="0"/>
        <charset val="1"/>
      </rPr>
      <t xml:space="preserve">S42</t>
    </r>
    <r>
      <rPr>
        <sz val="10"/>
        <color rgb="FF1E2126"/>
        <rFont val="WenQuanYi Zen Hei"/>
        <family val="2"/>
      </rPr>
      <t xml:space="preserve">）→ 営業の魅力（</t>
    </r>
    <r>
      <rPr>
        <sz val="10"/>
        <color rgb="FF1E2126"/>
        <rFont val="Meiryo UI"/>
        <family val="0"/>
        <charset val="1"/>
      </rPr>
      <t xml:space="preserve">S43</t>
    </r>
    <r>
      <rPr>
        <sz val="10"/>
        <color rgb="FF1E2126"/>
        <rFont val="WenQuanYi Zen Hei"/>
        <family val="2"/>
      </rPr>
      <t xml:space="preserve">）→ 若手社員（</t>
    </r>
    <r>
      <rPr>
        <sz val="10"/>
        <color rgb="FF1E2126"/>
        <rFont val="Meiryo UI"/>
        <family val="0"/>
        <charset val="1"/>
      </rPr>
      <t xml:space="preserve">S44</t>
    </r>
    <r>
      <rPr>
        <sz val="10"/>
        <color rgb="FF1E2126"/>
        <rFont val="WenQuanYi Zen Hei"/>
        <family val="2"/>
      </rPr>
      <t xml:space="preserve">）→ 次のステップ（</t>
    </r>
    <r>
      <rPr>
        <sz val="10"/>
        <color rgb="FF1E2126"/>
        <rFont val="Meiryo UI"/>
        <family val="0"/>
        <charset val="1"/>
      </rPr>
      <t xml:space="preserve">S45</t>
    </r>
    <r>
      <rPr>
        <sz val="10"/>
        <color rgb="FF1E2126"/>
        <rFont val="WenQuanYi Zen Hei"/>
        <family val="2"/>
      </rPr>
      <t xml:space="preserve">）。前後の興味の変化を測る</t>
    </r>
  </si>
  <si>
    <t xml:space="preserve">△（素材待ち）</t>
  </si>
  <si>
    <r>
      <rPr>
        <sz val="10"/>
        <color rgb="FF1E2126"/>
        <rFont val="WenQuanYi Zen Hei"/>
        <family val="2"/>
      </rPr>
      <t xml:space="preserve">育成制度・若手社員・申込</t>
    </r>
    <r>
      <rPr>
        <sz val="10"/>
        <color rgb="FF1E2126"/>
        <rFont val="Meiryo UI"/>
        <family val="0"/>
        <charset val="1"/>
      </rPr>
      <t xml:space="preserve">URL</t>
    </r>
    <r>
      <rPr>
        <sz val="10"/>
        <color rgb="FF1E2126"/>
        <rFont val="WenQuanYi Zen Hei"/>
        <family val="2"/>
      </rPr>
      <t xml:space="preserve">が未提供</t>
    </r>
  </si>
  <si>
    <t xml:space="preserve">後からイラスト・動画を追加できるか</t>
  </si>
  <si>
    <r>
      <rPr>
        <sz val="10"/>
        <color rgb="FF1E2126"/>
        <rFont val="WenQuanYi Zen Hei"/>
        <family val="2"/>
      </rPr>
      <t xml:space="preserve">画像</t>
    </r>
    <r>
      <rPr>
        <sz val="10"/>
        <color rgb="FF1E2126"/>
        <rFont val="Meiryo UI"/>
        <family val="0"/>
        <charset val="1"/>
      </rPr>
      <t xml:space="preserve">11</t>
    </r>
    <r>
      <rPr>
        <sz val="10"/>
        <color rgb="FF1E2126"/>
        <rFont val="WenQuanYi Zen Hei"/>
        <family val="2"/>
      </rPr>
      <t xml:space="preserve">枠・動画</t>
    </r>
    <r>
      <rPr>
        <sz val="10"/>
        <color rgb="FF1E2126"/>
        <rFont val="Meiryo UI"/>
        <family val="0"/>
        <charset val="1"/>
      </rPr>
      <t xml:space="preserve">5</t>
    </r>
    <r>
      <rPr>
        <sz val="10"/>
        <color rgb="FF1E2126"/>
        <rFont val="WenQuanYi Zen Hei"/>
        <family val="2"/>
      </rPr>
      <t xml:space="preserve">枠に管理番号をつけ、</t>
    </r>
    <r>
      <rPr>
        <sz val="10"/>
        <color rgb="FF1E2126"/>
        <rFont val="Meiryo UI"/>
        <family val="0"/>
        <charset val="1"/>
      </rPr>
      <t xml:space="preserve">PowerPoint</t>
    </r>
    <r>
      <rPr>
        <sz val="10"/>
        <color rgb="FF1E2126"/>
        <rFont val="WenQuanYi Zen Hei"/>
        <family val="2"/>
      </rPr>
      <t xml:space="preserve">の「選択ウィンドウ」で同じ名前のオブジェクトを選べるようにした。仮画像は既存動画の切り出しで、比率を変えずに配置</t>
    </r>
  </si>
  <si>
    <t xml:space="preserve">差し替え管理表に、枠の大きさと比率を記載</t>
  </si>
  <si>
    <t xml:space="preserve">技術面で直した・明記した点</t>
  </si>
  <si>
    <r>
      <rPr>
        <sz val="10"/>
        <rFont val="WenQuanYi Zen Hei"/>
        <family val="2"/>
      </rPr>
      <t xml:space="preserve">・「ボトルの接近」は、ボトルがくっつくと区切りがなくなり、むしろ少なく数える方向に働く。増える原因かは要確認と明記した（</t>
    </r>
    <r>
      <rPr>
        <sz val="10"/>
        <rFont val="Meiryo UI"/>
        <family val="0"/>
        <charset val="1"/>
      </rPr>
      <t xml:space="preserve">S17</t>
    </r>
    <r>
      <rPr>
        <sz val="10"/>
        <rFont val="WenQuanYi Zen Hei"/>
        <family val="2"/>
      </rPr>
      <t xml:space="preserve">・</t>
    </r>
    <r>
      <rPr>
        <sz val="10"/>
        <rFont val="Meiryo UI"/>
        <family val="0"/>
        <charset val="1"/>
      </rPr>
      <t xml:space="preserve">S18</t>
    </r>
    <r>
      <rPr>
        <sz val="10"/>
        <rFont val="WenQuanYi Zen Hei"/>
        <family val="2"/>
      </rPr>
      <t xml:space="preserve">）</t>
    </r>
  </si>
  <si>
    <r>
      <rPr>
        <sz val="10"/>
        <rFont val="WenQuanYi Zen Hei"/>
        <family val="2"/>
      </rPr>
      <t xml:space="preserve">・既存スライド</t>
    </r>
    <r>
      <rPr>
        <sz val="10"/>
        <rFont val="Meiryo UI"/>
        <family val="0"/>
        <charset val="1"/>
      </rPr>
      <t xml:space="preserve">67</t>
    </r>
    <r>
      <rPr>
        <sz val="10"/>
        <rFont val="WenQuanYi Zen Hei"/>
        <family val="2"/>
      </rPr>
      <t xml:space="preserve">（間隔の変化）は、上から見た図でボトル同士が重なって描かれており、実際には起きない。本編から外し、補足</t>
    </r>
    <r>
      <rPr>
        <sz val="10"/>
        <rFont val="Meiryo UI"/>
        <family val="0"/>
        <charset val="1"/>
      </rPr>
      <t xml:space="preserve">X04</t>
    </r>
    <r>
      <rPr>
        <sz val="10"/>
        <rFont val="WenQuanYi Zen Hei"/>
        <family val="2"/>
      </rPr>
      <t xml:space="preserve">で修正が必要と明記</t>
    </r>
  </si>
  <si>
    <r>
      <rPr>
        <sz val="10"/>
        <rFont val="WenQuanYi Zen Hei"/>
        <family val="2"/>
      </rPr>
      <t xml:space="preserve">・</t>
    </r>
    <r>
      <rPr>
        <sz val="10"/>
        <rFont val="Meiryo UI"/>
        <family val="0"/>
        <charset val="1"/>
      </rPr>
      <t xml:space="preserve">KR-Q</t>
    </r>
    <r>
      <rPr>
        <sz val="10"/>
        <rFont val="WenQuanYi Zen Hei"/>
        <family val="2"/>
      </rPr>
      <t xml:space="preserve">シリーズは、既設と同じ「回帰反射型」。違いは「透明体の検出に向けて設計されていること」とだけ表現し、性能の数値・他社との優劣は載せていない</t>
    </r>
  </si>
  <si>
    <r>
      <rPr>
        <sz val="10"/>
        <rFont val="WenQuanYi Zen Hei"/>
        <family val="2"/>
      </rPr>
      <t xml:space="preserve">・既存の導入動画は、</t>
    </r>
    <r>
      <rPr>
        <sz val="10"/>
        <rFont val="Meiryo UI"/>
        <family val="0"/>
        <charset val="1"/>
      </rPr>
      <t xml:space="preserve">0:15</t>
    </r>
    <r>
      <rPr>
        <sz val="10"/>
        <rFont val="WenQuanYi Zen Hei"/>
        <family val="2"/>
      </rPr>
      <t xml:space="preserve">〜</t>
    </r>
    <r>
      <rPr>
        <sz val="10"/>
        <rFont val="Meiryo UI"/>
        <family val="0"/>
        <charset val="1"/>
      </rPr>
      <t xml:space="preserve">1:35</t>
    </r>
    <r>
      <rPr>
        <sz val="10"/>
        <rFont val="WenQuanYi Zen Hei"/>
        <family val="2"/>
      </rPr>
      <t xml:space="preserve">付近で「お客様が実現したいこと」「確認作業が増える→生産効率が下がる」を先に見せている。</t>
    </r>
    <r>
      <rPr>
        <sz val="10"/>
        <rFont val="Meiryo UI"/>
        <family val="0"/>
        <charset val="1"/>
      </rPr>
      <t xml:space="preserve">DISCOVERY</t>
    </r>
    <r>
      <rPr>
        <sz val="10"/>
        <rFont val="WenQuanYi Zen Hei"/>
        <family val="2"/>
      </rPr>
      <t xml:space="preserve">の答えが先に見えるため、使う範囲を限定する</t>
    </r>
  </si>
  <si>
    <r>
      <rPr>
        <sz val="10"/>
        <rFont val="WenQuanYi Zen Hei"/>
        <family val="2"/>
      </rPr>
      <t xml:space="preserve">・現状データ（＋</t>
    </r>
    <r>
      <rPr>
        <sz val="10"/>
        <rFont val="Meiryo UI"/>
        <family val="0"/>
        <charset val="1"/>
      </rPr>
      <t xml:space="preserve">0.5</t>
    </r>
    <r>
      <rPr>
        <sz val="10"/>
        <rFont val="WenQuanYi Zen Hei"/>
        <family val="2"/>
      </rPr>
      <t xml:space="preserve">〜</t>
    </r>
    <r>
      <rPr>
        <sz val="10"/>
        <rFont val="Meiryo UI"/>
        <family val="0"/>
        <charset val="1"/>
      </rPr>
      <t xml:space="preserve">0.8</t>
    </r>
    <r>
      <rPr>
        <sz val="10"/>
        <rFont val="WenQuanYi Zen Hei"/>
        <family val="2"/>
      </rPr>
      <t xml:space="preserve">％、最大＋</t>
    </r>
    <r>
      <rPr>
        <sz val="10"/>
        <rFont val="Meiryo UI"/>
        <family val="0"/>
        <charset val="1"/>
      </rPr>
      <t xml:space="preserve">3.0</t>
    </r>
    <r>
      <rPr>
        <sz val="10"/>
        <rFont val="WenQuanYi Zen Hei"/>
        <family val="2"/>
      </rPr>
      <t xml:space="preserve">％、</t>
    </r>
    <r>
      <rPr>
        <sz val="10"/>
        <rFont val="Meiryo UI"/>
        <family val="0"/>
        <charset val="1"/>
      </rPr>
      <t xml:space="preserve">10,050</t>
    </r>
    <r>
      <rPr>
        <sz val="10"/>
        <rFont val="WenQuanYi Zen Hei"/>
        <family val="2"/>
      </rPr>
      <t xml:space="preserve">〜</t>
    </r>
    <r>
      <rPr>
        <sz val="10"/>
        <rFont val="Meiryo UI"/>
        <family val="0"/>
        <charset val="1"/>
      </rPr>
      <t xml:space="preserve">10,080</t>
    </r>
    <r>
      <rPr>
        <sz val="10"/>
        <rFont val="WenQuanYi Zen Hei"/>
        <family val="2"/>
      </rPr>
      <t xml:space="preserve">本／</t>
    </r>
    <r>
      <rPr>
        <sz val="10"/>
        <rFont val="Meiryo UI"/>
        <family val="0"/>
        <charset val="1"/>
      </rPr>
      <t xml:space="preserve">10,300</t>
    </r>
    <r>
      <rPr>
        <sz val="10"/>
        <rFont val="WenQuanYi Zen Hei"/>
        <family val="2"/>
      </rPr>
      <t xml:space="preserve">本）は、</t>
    </r>
    <r>
      <rPr>
        <sz val="10"/>
        <rFont val="Meiryo UI"/>
        <family val="0"/>
        <charset val="1"/>
      </rPr>
      <t xml:space="preserve">1</t>
    </r>
    <r>
      <rPr>
        <sz val="10"/>
        <rFont val="WenQuanYi Zen Hei"/>
        <family val="2"/>
      </rPr>
      <t xml:space="preserve">万本に対する計算と一致。スライドに「演習用の設定値」と明記</t>
    </r>
  </si>
  <si>
    <t xml:space="preserve">成果物⑦　成果測定（アンケート）</t>
  </si>
  <si>
    <r>
      <rPr>
        <sz val="10"/>
        <color rgb="FF5A6470"/>
        <rFont val="WenQuanYi Zen Hei"/>
        <family val="2"/>
      </rPr>
      <t xml:space="preserve">事前（</t>
    </r>
    <r>
      <rPr>
        <sz val="10"/>
        <color rgb="FF5A6470"/>
        <rFont val="Meiryo UI"/>
        <family val="0"/>
        <charset val="1"/>
      </rPr>
      <t xml:space="preserve">S02</t>
    </r>
    <r>
      <rPr>
        <sz val="10"/>
        <color rgb="FF5A6470"/>
        <rFont val="WenQuanYi Zen Hei"/>
        <family val="2"/>
      </rPr>
      <t xml:space="preserve">）と事後（</t>
    </r>
    <r>
      <rPr>
        <sz val="10"/>
        <color rgb="FF5A6470"/>
        <rFont val="Meiryo UI"/>
        <family val="0"/>
        <charset val="1"/>
      </rPr>
      <t xml:space="preserve">S45</t>
    </r>
    <r>
      <rPr>
        <sz val="10"/>
        <color rgb="FF5A6470"/>
        <rFont val="WenQuanYi Zen Hei"/>
        <family val="2"/>
      </rPr>
      <t xml:space="preserve">）で同じ問いを聞き、変化を見る。採用成果は次回ステップへの参加率で確認する</t>
    </r>
  </si>
  <si>
    <t xml:space="preserve">設問</t>
  </si>
  <si>
    <r>
      <rPr>
        <b val="true"/>
        <sz val="10"/>
        <color rgb="FFFFFFFF"/>
        <rFont val="WenQuanYi Zen Hei"/>
        <family val="2"/>
      </rPr>
      <t xml:space="preserve">事前チェック（開始時・</t>
    </r>
    <r>
      <rPr>
        <b val="true"/>
        <sz val="10"/>
        <color rgb="FFFFFFFF"/>
        <rFont val="Meiryo UI"/>
        <family val="0"/>
        <charset val="1"/>
      </rPr>
      <t xml:space="preserve">1</t>
    </r>
    <r>
      <rPr>
        <b val="true"/>
        <sz val="10"/>
        <color rgb="FFFFFFFF"/>
        <rFont val="WenQuanYi Zen Hei"/>
        <family val="2"/>
      </rPr>
      <t xml:space="preserve">分）</t>
    </r>
  </si>
  <si>
    <t xml:space="preserve">回答形式</t>
  </si>
  <si>
    <t xml:space="preserve">Q0-1</t>
  </si>
  <si>
    <t xml:space="preserve">営業の仕事に、どれくらい興味がありますか？</t>
  </si>
  <si>
    <r>
      <rPr>
        <sz val="10"/>
        <color rgb="FF1E2126"/>
        <rFont val="Meiryo UI"/>
        <family val="0"/>
        <charset val="1"/>
      </rPr>
      <t xml:space="preserve">5</t>
    </r>
    <r>
      <rPr>
        <sz val="10"/>
        <color rgb="FF1E2126"/>
        <rFont val="WenQuanYi Zen Hei"/>
        <family val="2"/>
      </rPr>
      <t xml:space="preserve">段階（</t>
    </r>
    <r>
      <rPr>
        <sz val="10"/>
        <color rgb="FF1E2126"/>
        <rFont val="Meiryo UI"/>
        <family val="0"/>
        <charset val="1"/>
      </rPr>
      <t xml:space="preserve">1 </t>
    </r>
    <r>
      <rPr>
        <sz val="10"/>
        <color rgb="FF1E2126"/>
        <rFont val="WenQuanYi Zen Hei"/>
        <family val="2"/>
      </rPr>
      <t xml:space="preserve">まったくない〜</t>
    </r>
    <r>
      <rPr>
        <sz val="10"/>
        <color rgb="FF1E2126"/>
        <rFont val="Meiryo UI"/>
        <family val="0"/>
        <charset val="1"/>
      </rPr>
      <t xml:space="preserve">5 </t>
    </r>
    <r>
      <rPr>
        <sz val="10"/>
        <color rgb="FF1E2126"/>
        <rFont val="WenQuanYi Zen Hei"/>
        <family val="2"/>
      </rPr>
      <t xml:space="preserve">とてもある）</t>
    </r>
  </si>
  <si>
    <t xml:space="preserve">Q0-2</t>
  </si>
  <si>
    <t xml:space="preserve">営業とは、どんな仕事だと思いますか？</t>
  </si>
  <si>
    <t xml:space="preserve">自由記述（ひとこと）</t>
  </si>
  <si>
    <r>
      <rPr>
        <b val="true"/>
        <sz val="10"/>
        <color rgb="FFFFFFFF"/>
        <rFont val="WenQuanYi Zen Hei"/>
        <family val="2"/>
      </rPr>
      <t xml:space="preserve">事後アンケート（終了時・</t>
    </r>
    <r>
      <rPr>
        <b val="true"/>
        <sz val="10"/>
        <color rgb="FFFFFFFF"/>
        <rFont val="Meiryo UI"/>
        <family val="0"/>
        <charset val="1"/>
      </rPr>
      <t xml:space="preserve">2</t>
    </r>
    <r>
      <rPr>
        <b val="true"/>
        <sz val="10"/>
        <color rgb="FFFFFFFF"/>
        <rFont val="WenQuanYi Zen Hei"/>
        <family val="2"/>
      </rPr>
      <t xml:space="preserve">分）</t>
    </r>
  </si>
  <si>
    <t xml:space="preserve">Q1</t>
  </si>
  <si>
    <t xml:space="preserve">営業の仕事内容を理解できましたか？</t>
  </si>
  <si>
    <r>
      <rPr>
        <sz val="10"/>
        <color rgb="FF1E2126"/>
        <rFont val="Meiryo UI"/>
        <family val="0"/>
        <charset val="1"/>
      </rPr>
      <t xml:space="preserve">5</t>
    </r>
    <r>
      <rPr>
        <sz val="10"/>
        <color rgb="FF1E2126"/>
        <rFont val="WenQuanYi Zen Hei"/>
        <family val="2"/>
      </rPr>
      <t xml:space="preserve">段階</t>
    </r>
  </si>
  <si>
    <t xml:space="preserve">Q2</t>
  </si>
  <si>
    <t xml:space="preserve">課題を発見する体験は面白かったですか？</t>
  </si>
  <si>
    <t xml:space="preserve">Q3</t>
  </si>
  <si>
    <t xml:space="preserve">自分でも営業の仕事に挑戦できそうだと感じましたか？</t>
  </si>
  <si>
    <t xml:space="preserve">Q4</t>
  </si>
  <si>
    <r>
      <rPr>
        <sz val="10"/>
        <color rgb="FF1E2126"/>
        <rFont val="WenQuanYi Zen Hei"/>
        <family val="2"/>
      </rPr>
      <t xml:space="preserve">参加前と比べて、</t>
    </r>
    <r>
      <rPr>
        <sz val="10"/>
        <color rgb="FF1E2126"/>
        <rFont val="Meiryo UI"/>
        <family val="0"/>
        <charset val="1"/>
      </rPr>
      <t xml:space="preserve">OPTEX-FA</t>
    </r>
    <r>
      <rPr>
        <sz val="10"/>
        <color rgb="FF1E2126"/>
        <rFont val="WenQuanYi Zen Hei"/>
        <family val="2"/>
      </rPr>
      <t xml:space="preserve">への興味は高まりましたか？</t>
    </r>
  </si>
  <si>
    <r>
      <rPr>
        <sz val="10"/>
        <color rgb="FF1E2126"/>
        <rFont val="Meiryo UI"/>
        <family val="0"/>
        <charset val="1"/>
      </rPr>
      <t xml:space="preserve">5</t>
    </r>
    <r>
      <rPr>
        <sz val="10"/>
        <color rgb="FF1E2126"/>
        <rFont val="WenQuanYi Zen Hei"/>
        <family val="2"/>
      </rPr>
      <t xml:space="preserve">段階（</t>
    </r>
    <r>
      <rPr>
        <sz val="10"/>
        <color rgb="FF1E2126"/>
        <rFont val="Meiryo UI"/>
        <family val="0"/>
        <charset val="1"/>
      </rPr>
      <t xml:space="preserve">1 </t>
    </r>
    <r>
      <rPr>
        <sz val="10"/>
        <color rgb="FF1E2126"/>
        <rFont val="WenQuanYi Zen Hei"/>
        <family val="2"/>
      </rPr>
      <t xml:space="preserve">下がった〜</t>
    </r>
    <r>
      <rPr>
        <sz val="10"/>
        <color rgb="FF1E2126"/>
        <rFont val="Meiryo UI"/>
        <family val="0"/>
        <charset val="1"/>
      </rPr>
      <t xml:space="preserve">3 </t>
    </r>
    <r>
      <rPr>
        <sz val="10"/>
        <color rgb="FF1E2126"/>
        <rFont val="WenQuanYi Zen Hei"/>
        <family val="2"/>
      </rPr>
      <t xml:space="preserve">変わらない〜</t>
    </r>
    <r>
      <rPr>
        <sz val="10"/>
        <color rgb="FF1E2126"/>
        <rFont val="Meiryo UI"/>
        <family val="0"/>
        <charset val="1"/>
      </rPr>
      <t xml:space="preserve">5 </t>
    </r>
    <r>
      <rPr>
        <sz val="10"/>
        <color rgb="FF1E2126"/>
        <rFont val="WenQuanYi Zen Hei"/>
        <family val="2"/>
      </rPr>
      <t xml:space="preserve">とても高まった）</t>
    </r>
  </si>
  <si>
    <t xml:space="preserve">Q5</t>
  </si>
  <si>
    <t xml:space="preserve">もっと詳しく知りたい内容は何ですか？</t>
  </si>
  <si>
    <t xml:space="preserve">複数選択（仕事内容／製品・技術／育成・研修／働き方／社員）＋自由記述</t>
  </si>
  <si>
    <t xml:space="preserve">Q6</t>
  </si>
  <si>
    <t xml:space="preserve">次の会社説明・社員交流・選考に参加したいですか？</t>
  </si>
  <si>
    <t xml:space="preserve">選択（ぜひ参加したい／日程が合えば／今は考えていない）</t>
  </si>
  <si>
    <t xml:space="preserve">Q7</t>
  </si>
  <si>
    <t xml:space="preserve">営業の仕事に、どれくらい興味がありますか？（事前と同じ問い）</t>
  </si>
  <si>
    <r>
      <rPr>
        <sz val="10"/>
        <color rgb="FF1E2126"/>
        <rFont val="Meiryo UI"/>
        <family val="0"/>
        <charset val="1"/>
      </rPr>
      <t xml:space="preserve">5</t>
    </r>
    <r>
      <rPr>
        <sz val="10"/>
        <color rgb="FF1E2126"/>
        <rFont val="WenQuanYi Zen Hei"/>
        <family val="2"/>
      </rPr>
      <t xml:space="preserve">段階。事前</t>
    </r>
    <r>
      <rPr>
        <sz val="10"/>
        <color rgb="FF1E2126"/>
        <rFont val="Meiryo UI"/>
        <family val="0"/>
        <charset val="1"/>
      </rPr>
      <t xml:space="preserve">Q0-1</t>
    </r>
    <r>
      <rPr>
        <sz val="10"/>
        <color rgb="FF1E2126"/>
        <rFont val="WenQuanYi Zen Hei"/>
        <family val="2"/>
      </rPr>
      <t xml:space="preserve">との差で変化を見る</t>
    </r>
  </si>
  <si>
    <t xml:space="preserve">Q8</t>
  </si>
  <si>
    <t xml:space="preserve">営業とは、どんな仕事だと思いますか？（事前と同じ問い）</t>
  </si>
  <si>
    <r>
      <rPr>
        <sz val="10"/>
        <color rgb="FF1E2126"/>
        <rFont val="WenQuanYi Zen Hei"/>
        <family val="2"/>
      </rPr>
      <t xml:space="preserve">自由記述。事前</t>
    </r>
    <r>
      <rPr>
        <sz val="10"/>
        <color rgb="FF1E2126"/>
        <rFont val="Meiryo UI"/>
        <family val="0"/>
        <charset val="1"/>
      </rPr>
      <t xml:space="preserve">Q0-2</t>
    </r>
    <r>
      <rPr>
        <sz val="10"/>
        <color rgb="FF1E2126"/>
        <rFont val="WenQuanYi Zen Hei"/>
        <family val="2"/>
      </rPr>
      <t xml:space="preserve">と比べる</t>
    </r>
  </si>
  <si>
    <t xml:space="preserve">指標</t>
  </si>
  <si>
    <t xml:space="preserve">計算方法</t>
  </si>
  <si>
    <t xml:space="preserve">目標</t>
  </si>
  <si>
    <t xml:space="preserve">営業職への興味の変化</t>
  </si>
  <si>
    <r>
      <rPr>
        <sz val="10"/>
        <color rgb="FF1E2126"/>
        <rFont val="WenQuanYi Zen Hei"/>
        <family val="2"/>
      </rPr>
      <t xml:space="preserve">事後</t>
    </r>
    <r>
      <rPr>
        <sz val="10"/>
        <color rgb="FF1E2126"/>
        <rFont val="Meiryo UI"/>
        <family val="0"/>
        <charset val="1"/>
      </rPr>
      <t xml:space="preserve">Q7</t>
    </r>
    <r>
      <rPr>
        <sz val="10"/>
        <color rgb="FF1E2126"/>
        <rFont val="WenQuanYi Zen Hei"/>
        <family val="2"/>
      </rPr>
      <t xml:space="preserve">の平均 − 事前</t>
    </r>
    <r>
      <rPr>
        <sz val="10"/>
        <color rgb="FF1E2126"/>
        <rFont val="Meiryo UI"/>
        <family val="0"/>
        <charset val="1"/>
      </rPr>
      <t xml:space="preserve">Q0-1</t>
    </r>
    <r>
      <rPr>
        <sz val="10"/>
        <color rgb="FF1E2126"/>
        <rFont val="WenQuanYi Zen Hei"/>
        <family val="2"/>
      </rPr>
      <t xml:space="preserve">の平均</t>
    </r>
  </si>
  <si>
    <r>
      <rPr>
        <sz val="10"/>
        <color rgb="FF1E2126"/>
        <rFont val="WenQuanYi Zen Hei"/>
        <family val="2"/>
      </rPr>
      <t xml:space="preserve">＋</t>
    </r>
    <r>
      <rPr>
        <sz val="10"/>
        <color rgb="FF1E2126"/>
        <rFont val="Meiryo UI"/>
        <family val="0"/>
        <charset val="1"/>
      </rPr>
      <t xml:space="preserve">1.0</t>
    </r>
    <r>
      <rPr>
        <sz val="10"/>
        <color rgb="FF1E2126"/>
        <rFont val="WenQuanYi Zen Hei"/>
        <family val="2"/>
      </rPr>
      <t xml:space="preserve">以上（目安・要設定）</t>
    </r>
  </si>
  <si>
    <t xml:space="preserve">挑戦できそう率</t>
  </si>
  <si>
    <r>
      <rPr>
        <sz val="10"/>
        <color rgb="FF1E2126"/>
        <rFont val="Meiryo UI"/>
        <family val="0"/>
        <charset val="1"/>
      </rPr>
      <t xml:space="preserve">Q3</t>
    </r>
    <r>
      <rPr>
        <sz val="10"/>
        <color rgb="FF1E2126"/>
        <rFont val="WenQuanYi Zen Hei"/>
        <family val="2"/>
      </rPr>
      <t xml:space="preserve">で</t>
    </r>
    <r>
      <rPr>
        <sz val="10"/>
        <color rgb="FF1E2126"/>
        <rFont val="Meiryo UI"/>
        <family val="0"/>
        <charset val="1"/>
      </rPr>
      <t xml:space="preserve">4</t>
    </r>
    <r>
      <rPr>
        <sz val="10"/>
        <color rgb="FF1E2126"/>
        <rFont val="WenQuanYi Zen Hei"/>
        <family val="2"/>
      </rPr>
      <t xml:space="preserve">・</t>
    </r>
    <r>
      <rPr>
        <sz val="10"/>
        <color rgb="FF1E2126"/>
        <rFont val="Meiryo UI"/>
        <family val="0"/>
        <charset val="1"/>
      </rPr>
      <t xml:space="preserve">5</t>
    </r>
    <r>
      <rPr>
        <sz val="10"/>
        <color rgb="FF1E2126"/>
        <rFont val="WenQuanYi Zen Hei"/>
        <family val="2"/>
      </rPr>
      <t xml:space="preserve">を選んだ人の割合</t>
    </r>
  </si>
  <si>
    <t xml:space="preserve">要設定</t>
  </si>
  <si>
    <t xml:space="preserve">次回ステップ参加意向率</t>
  </si>
  <si>
    <r>
      <rPr>
        <sz val="10"/>
        <color rgb="FF1E2126"/>
        <rFont val="Meiryo UI"/>
        <family val="0"/>
        <charset val="1"/>
      </rPr>
      <t xml:space="preserve">Q6</t>
    </r>
    <r>
      <rPr>
        <sz val="10"/>
        <color rgb="FF1E2126"/>
        <rFont val="WenQuanYi Zen Hei"/>
        <family val="2"/>
      </rPr>
      <t xml:space="preserve">で「ぜひ」「日程が合えば」の割合</t>
    </r>
  </si>
  <si>
    <t xml:space="preserve">次回ステップ参加率（採用成果）</t>
  </si>
  <si>
    <r>
      <rPr>
        <sz val="10"/>
        <color rgb="FF1E2126"/>
        <rFont val="WenQuanYi Zen Hei"/>
        <family val="2"/>
      </rPr>
      <t xml:space="preserve">次のステップに実際に参加した人数 </t>
    </r>
    <r>
      <rPr>
        <sz val="10"/>
        <color rgb="FF1E2126"/>
        <rFont val="Meiryo UI"/>
        <family val="0"/>
        <charset val="1"/>
      </rPr>
      <t xml:space="preserve">÷ </t>
    </r>
    <r>
      <rPr>
        <sz val="10"/>
        <color rgb="FF1E2126"/>
        <rFont val="WenQuanYi Zen Hei"/>
        <family val="2"/>
      </rPr>
      <t xml:space="preserve">体験の参加人数</t>
    </r>
  </si>
  <si>
    <t xml:space="preserve">要設定（人事の申込データと照合）</t>
  </si>
  <si>
    <t xml:space="preserve">要確認事項</t>
  </si>
  <si>
    <t xml:space="preserve">推測で事実を補わず、確認が必要なものとして残した事項</t>
  </si>
  <si>
    <t xml:space="preserve">分類</t>
  </si>
  <si>
    <t xml:space="preserve">関係するスライド・素材</t>
  </si>
  <si>
    <t xml:space="preserve">確認先（案）</t>
  </si>
  <si>
    <t xml:space="preserve">回答・決定事項</t>
  </si>
  <si>
    <t xml:space="preserve">製品情報</t>
  </si>
  <si>
    <r>
      <rPr>
        <sz val="10"/>
        <color rgb="FF1E2126"/>
        <rFont val="Meiryo UI"/>
        <family val="0"/>
        <charset val="1"/>
      </rPr>
      <t xml:space="preserve">KR-Q</t>
    </r>
    <r>
      <rPr>
        <sz val="10"/>
        <color rgb="FF1E2126"/>
        <rFont val="WenQuanYi Zen Hei"/>
        <family val="2"/>
      </rPr>
      <t xml:space="preserve">シリーズの仕様・特長を公式ページで直接照合する（この環境から公式サイトに接続できず、検索抜粋のみで確認）</t>
    </r>
  </si>
  <si>
    <r>
      <rPr>
        <sz val="10"/>
        <color rgb="FF1E2126"/>
        <rFont val="Meiryo UI"/>
        <family val="0"/>
        <charset val="1"/>
      </rPr>
      <t xml:space="preserve">S33</t>
    </r>
    <r>
      <rPr>
        <sz val="10"/>
        <color rgb="FF1E2126"/>
        <rFont val="WenQuanYi Zen Hei"/>
        <family val="2"/>
      </rPr>
      <t xml:space="preserve">・</t>
    </r>
    <r>
      <rPr>
        <sz val="10"/>
        <color rgb="FF1E2126"/>
        <rFont val="Meiryo UI"/>
        <family val="0"/>
        <charset val="1"/>
      </rPr>
      <t xml:space="preserve">X06</t>
    </r>
  </si>
  <si>
    <t xml:space="preserve">営業企画／技術</t>
  </si>
  <si>
    <t xml:space="preserve">未確認</t>
  </si>
  <si>
    <r>
      <rPr>
        <sz val="10"/>
        <color rgb="FF1E2126"/>
        <rFont val="Meiryo UI"/>
        <family val="0"/>
        <charset val="1"/>
      </rPr>
      <t xml:space="preserve">KR-Q</t>
    </r>
    <r>
      <rPr>
        <sz val="10"/>
        <color rgb="FF1E2126"/>
        <rFont val="WenQuanYi Zen Hei"/>
        <family val="2"/>
      </rPr>
      <t xml:space="preserve">シリーズの光源の表記（公式抜粋：赤色</t>
    </r>
    <r>
      <rPr>
        <sz val="10"/>
        <color rgb="FF1E2126"/>
        <rFont val="Meiryo UI"/>
        <family val="0"/>
        <charset val="1"/>
      </rPr>
      <t xml:space="preserve">LED</t>
    </r>
    <r>
      <rPr>
        <sz val="10"/>
        <color rgb="FF1E2126"/>
        <rFont val="WenQuanYi Zen Hei"/>
        <family val="2"/>
      </rPr>
      <t xml:space="preserve">／販売店：赤外</t>
    </r>
    <r>
      <rPr>
        <sz val="10"/>
        <color rgb="FF1E2126"/>
        <rFont val="Meiryo UI"/>
        <family val="0"/>
        <charset val="1"/>
      </rPr>
      <t xml:space="preserve">LED</t>
    </r>
    <r>
      <rPr>
        <sz val="10"/>
        <color rgb="FF1E2126"/>
        <rFont val="WenQuanYi Zen Hei"/>
        <family val="2"/>
      </rPr>
      <t xml:space="preserve">）の食い違い</t>
    </r>
  </si>
  <si>
    <t xml:space="preserve">X06</t>
  </si>
  <si>
    <t xml:space="preserve">技術</t>
  </si>
  <si>
    <t xml:space="preserve">「屈折光除去機能」など公式の特長表現を教材に使ってよいか（現在は載せていない）</t>
  </si>
  <si>
    <t xml:space="preserve">技術・広報</t>
  </si>
  <si>
    <r>
      <rPr>
        <sz val="10"/>
        <color rgb="FF1E2126"/>
        <rFont val="WenQuanYi Zen Hei"/>
        <family val="2"/>
      </rPr>
      <t xml:space="preserve">製品画像・ロゴを使う場合の利用許諾（</t>
    </r>
    <r>
      <rPr>
        <sz val="10"/>
        <color rgb="FF1E2126"/>
        <rFont val="Meiryo UI"/>
        <family val="0"/>
        <charset val="1"/>
      </rPr>
      <t xml:space="preserve">OPTEX-FA</t>
    </r>
    <r>
      <rPr>
        <sz val="10"/>
        <color rgb="FF1E2126"/>
        <rFont val="WenQuanYi Zen Hei"/>
        <family val="2"/>
      </rPr>
      <t xml:space="preserve">公式サイトの二次利用は事前許諾が必要）</t>
    </r>
  </si>
  <si>
    <t xml:space="preserve">広報</t>
  </si>
  <si>
    <t xml:space="preserve">採用</t>
  </si>
  <si>
    <r>
      <rPr>
        <sz val="10"/>
        <color rgb="FF1E2126"/>
        <rFont val="Meiryo UI"/>
        <family val="0"/>
        <charset val="1"/>
      </rPr>
      <t xml:space="preserve">OPTEX-FA</t>
    </r>
    <r>
      <rPr>
        <sz val="10"/>
        <color rgb="FF1E2126"/>
        <rFont val="WenQuanYi Zen Hei"/>
        <family val="2"/>
      </rPr>
      <t xml:space="preserve">の育成制度・営業の業務内容（</t>
    </r>
    <r>
      <rPr>
        <sz val="10"/>
        <color rgb="FF1E2126"/>
        <rFont val="Meiryo UI"/>
        <family val="0"/>
        <charset val="1"/>
      </rPr>
      <t xml:space="preserve">S43</t>
    </r>
    <r>
      <rPr>
        <sz val="10"/>
        <color rgb="FF1E2126"/>
        <rFont val="WenQuanYi Zen Hei"/>
        <family val="2"/>
      </rPr>
      <t xml:space="preserve">の具体例）</t>
    </r>
  </si>
  <si>
    <t xml:space="preserve">人事</t>
  </si>
  <si>
    <t xml:space="preserve">若手営業社員の写真・入社年・担当・メッセージ</t>
  </si>
  <si>
    <r>
      <rPr>
        <sz val="10"/>
        <color rgb="FF1E2126"/>
        <rFont val="WenQuanYi Zen Hei"/>
        <family val="2"/>
      </rPr>
      <t xml:space="preserve">事前チェック・事後アンケートの回答フォームと</t>
    </r>
    <r>
      <rPr>
        <sz val="10"/>
        <color rgb="FF1E2126"/>
        <rFont val="Meiryo UI"/>
        <family val="0"/>
        <charset val="1"/>
      </rPr>
      <t xml:space="preserve">QR</t>
    </r>
    <r>
      <rPr>
        <sz val="10"/>
        <color rgb="FF1E2126"/>
        <rFont val="WenQuanYi Zen Hei"/>
        <family val="2"/>
      </rPr>
      <t xml:space="preserve">コード、次のステップの日程と申込</t>
    </r>
    <r>
      <rPr>
        <sz val="10"/>
        <color rgb="FF1E2126"/>
        <rFont val="Meiryo UI"/>
        <family val="0"/>
        <charset val="1"/>
      </rPr>
      <t xml:space="preserve">URL</t>
    </r>
  </si>
  <si>
    <r>
      <rPr>
        <sz val="10"/>
        <color rgb="FF1E2126"/>
        <rFont val="Meiryo UI"/>
        <family val="0"/>
        <charset val="1"/>
      </rPr>
      <t xml:space="preserve">S02</t>
    </r>
    <r>
      <rPr>
        <sz val="10"/>
        <color rgb="FF1E2126"/>
        <rFont val="WenQuanYi Zen Hei"/>
        <family val="2"/>
      </rPr>
      <t xml:space="preserve">・</t>
    </r>
    <r>
      <rPr>
        <sz val="10"/>
        <color rgb="FF1E2126"/>
        <rFont val="Meiryo UI"/>
        <family val="0"/>
        <charset val="1"/>
      </rPr>
      <t xml:space="preserve">S45</t>
    </r>
  </si>
  <si>
    <t xml:space="preserve">運営</t>
  </si>
  <si>
    <r>
      <rPr>
        <sz val="10"/>
        <color rgb="FF1E2126"/>
        <rFont val="WenQuanYi Zen Hei"/>
        <family val="2"/>
      </rPr>
      <t xml:space="preserve">顧客役（佐藤さん・高橋さん役）を演じる社員</t>
    </r>
    <r>
      <rPr>
        <sz val="10"/>
        <color rgb="FF1E2126"/>
        <rFont val="Meiryo UI"/>
        <family val="0"/>
        <charset val="1"/>
      </rPr>
      <t xml:space="preserve">2</t>
    </r>
    <r>
      <rPr>
        <sz val="10"/>
        <color rgb="FF1E2126"/>
        <rFont val="WenQuanYi Zen Hei"/>
        <family val="2"/>
      </rPr>
      <t xml:space="preserve">名と、事前の打ち合わせ</t>
    </r>
  </si>
  <si>
    <t xml:space="preserve">営業企画</t>
  </si>
  <si>
    <r>
      <rPr>
        <sz val="10"/>
        <color rgb="FF1E2126"/>
        <rFont val="WenQuanYi Zen Hei"/>
        <family val="2"/>
      </rPr>
      <t xml:space="preserve">参加人数とグループ数（発表できる組数が決まる。標準は</t>
    </r>
    <r>
      <rPr>
        <sz val="10"/>
        <color rgb="FF1E2126"/>
        <rFont val="Meiryo UI"/>
        <family val="0"/>
        <charset val="1"/>
      </rPr>
      <t xml:space="preserve">2</t>
    </r>
    <r>
      <rPr>
        <sz val="10"/>
        <color rgb="FF1E2126"/>
        <rFont val="WenQuanYi Zen Hei"/>
        <family val="2"/>
      </rPr>
      <t xml:space="preserve">組）</t>
    </r>
  </si>
  <si>
    <r>
      <rPr>
        <sz val="10"/>
        <color rgb="FF1E2126"/>
        <rFont val="Meiryo UI"/>
        <family val="0"/>
        <charset val="1"/>
      </rPr>
      <t xml:space="preserve">3</t>
    </r>
    <r>
      <rPr>
        <sz val="10"/>
        <color rgb="FF1E2126"/>
        <rFont val="WenQuanYi Zen Hei"/>
        <family val="2"/>
      </rPr>
      <t xml:space="preserve">択の回答方法（既存のスマホ投票アプリ／挙手）</t>
    </r>
  </si>
  <si>
    <r>
      <rPr>
        <sz val="10"/>
        <color rgb="FF1E2126"/>
        <rFont val="Meiryo UI"/>
        <family val="0"/>
        <charset val="1"/>
      </rPr>
      <t xml:space="preserve">S06</t>
    </r>
    <r>
      <rPr>
        <sz val="10"/>
        <color rgb="FF1E2126"/>
        <rFont val="WenQuanYi Zen Hei"/>
        <family val="2"/>
      </rPr>
      <t xml:space="preserve">・</t>
    </r>
    <r>
      <rPr>
        <sz val="10"/>
        <color rgb="FF1E2126"/>
        <rFont val="Meiryo UI"/>
        <family val="0"/>
        <charset val="1"/>
      </rPr>
      <t xml:space="preserve">S10</t>
    </r>
    <r>
      <rPr>
        <sz val="10"/>
        <color rgb="FF1E2126"/>
        <rFont val="WenQuanYi Zen Hei"/>
        <family val="2"/>
      </rPr>
      <t xml:space="preserve">・</t>
    </r>
    <r>
      <rPr>
        <sz val="10"/>
        <color rgb="FF1E2126"/>
        <rFont val="Meiryo UI"/>
        <family val="0"/>
        <charset val="1"/>
      </rPr>
      <t xml:space="preserve">S20</t>
    </r>
  </si>
  <si>
    <t xml:space="preserve">映像</t>
  </si>
  <si>
    <r>
      <rPr>
        <sz val="10"/>
        <color rgb="FF1E2126"/>
        <rFont val="WenQuanYi Zen Hei"/>
        <family val="2"/>
      </rPr>
      <t xml:space="preserve">既存の導入動画（</t>
    </r>
    <r>
      <rPr>
        <sz val="10"/>
        <color rgb="FF1E2126"/>
        <rFont val="Meiryo UI"/>
        <family val="0"/>
        <charset val="1"/>
      </rPr>
      <t xml:space="preserve">3</t>
    </r>
    <r>
      <rPr>
        <sz val="10"/>
        <color rgb="FF1E2126"/>
        <rFont val="WenQuanYi Zen Hei"/>
        <family val="2"/>
      </rPr>
      <t xml:space="preserve">分</t>
    </r>
    <r>
      <rPr>
        <sz val="10"/>
        <color rgb="FF1E2126"/>
        <rFont val="Meiryo UI"/>
        <family val="0"/>
        <charset val="1"/>
      </rPr>
      <t xml:space="preserve">58</t>
    </r>
    <r>
      <rPr>
        <sz val="10"/>
        <color rgb="FF1E2126"/>
        <rFont val="WenQuanYi Zen Hei"/>
        <family val="2"/>
      </rPr>
      <t xml:space="preserve">秒）を</t>
    </r>
    <r>
      <rPr>
        <sz val="10"/>
        <color rgb="FF1E2126"/>
        <rFont val="Meiryo UI"/>
        <family val="0"/>
        <charset val="1"/>
      </rPr>
      <t xml:space="preserve">60</t>
    </r>
    <r>
      <rPr>
        <sz val="10"/>
        <color rgb="FF1E2126"/>
        <rFont val="WenQuanYi Zen Hei"/>
        <family val="2"/>
      </rPr>
      <t xml:space="preserve">秒以内に編集する。</t>
    </r>
    <r>
      <rPr>
        <sz val="10"/>
        <color rgb="FF1E2126"/>
        <rFont val="Meiryo UI"/>
        <family val="0"/>
        <charset val="1"/>
      </rPr>
      <t xml:space="preserve">0:15</t>
    </r>
    <r>
      <rPr>
        <sz val="10"/>
        <color rgb="FF1E2126"/>
        <rFont val="WenQuanYi Zen Hei"/>
        <family val="2"/>
      </rPr>
      <t xml:space="preserve">〜</t>
    </r>
    <r>
      <rPr>
        <sz val="10"/>
        <color rgb="FF1E2126"/>
        <rFont val="Meiryo UI"/>
        <family val="0"/>
        <charset val="1"/>
      </rPr>
      <t xml:space="preserve">1:35</t>
    </r>
    <r>
      <rPr>
        <sz val="10"/>
        <color rgb="FF1E2126"/>
        <rFont val="WenQuanYi Zen Hei"/>
        <family val="2"/>
      </rPr>
      <t xml:space="preserve">付近は「お客様が実現したいこと」「確認作業が増える」を先に見せてしまうため、</t>
    </r>
    <r>
      <rPr>
        <sz val="10"/>
        <color rgb="FF1E2126"/>
        <rFont val="Meiryo UI"/>
        <family val="0"/>
        <charset val="1"/>
      </rPr>
      <t xml:space="preserve">DISCOVERY</t>
    </r>
    <r>
      <rPr>
        <sz val="10"/>
        <color rgb="FF1E2126"/>
        <rFont val="WenQuanYi Zen Hei"/>
        <family val="2"/>
      </rPr>
      <t xml:space="preserve">の答えが先に見える</t>
    </r>
  </si>
  <si>
    <t xml:space="preserve">制作</t>
  </si>
  <si>
    <t xml:space="preserve">映像④の新しい台詞（演習用）の音声収録</t>
  </si>
  <si>
    <r>
      <rPr>
        <sz val="10"/>
        <color rgb="FF1E2126"/>
        <rFont val="WenQuanYi Zen Hei"/>
        <family val="2"/>
      </rPr>
      <t xml:space="preserve">既存スライド</t>
    </r>
    <r>
      <rPr>
        <sz val="10"/>
        <color rgb="FF1E2126"/>
        <rFont val="Meiryo UI"/>
        <family val="0"/>
        <charset val="1"/>
      </rPr>
      <t xml:space="preserve">67</t>
    </r>
    <r>
      <rPr>
        <sz val="10"/>
        <color rgb="FF1E2126"/>
        <rFont val="WenQuanYi Zen Hei"/>
        <family val="2"/>
      </rPr>
      <t xml:space="preserve">（間隔の変化）の図で、ボトル同士が重なっている描写の修正</t>
    </r>
  </si>
  <si>
    <t xml:space="preserve">時間</t>
  </si>
  <si>
    <r>
      <rPr>
        <sz val="10"/>
        <color rgb="FF1E2126"/>
        <rFont val="Meiryo UI"/>
        <family val="0"/>
        <charset val="1"/>
      </rPr>
      <t xml:space="preserve">PROPOSAL</t>
    </r>
    <r>
      <rPr>
        <sz val="10"/>
        <color rgb="FF1E2126"/>
        <rFont val="WenQuanYi Zen Hei"/>
        <family val="2"/>
      </rPr>
      <t xml:space="preserve">の模擬提案ワークは、指示書の推奨（</t>
    </r>
    <r>
      <rPr>
        <sz val="10"/>
        <color rgb="FF1E2126"/>
        <rFont val="Meiryo UI"/>
        <family val="0"/>
        <charset val="1"/>
      </rPr>
      <t xml:space="preserve">3</t>
    </r>
    <r>
      <rPr>
        <sz val="10"/>
        <color rgb="FF1E2126"/>
        <rFont val="WenQuanYi Zen Hei"/>
        <family val="2"/>
      </rPr>
      <t xml:space="preserve">分＋</t>
    </r>
    <r>
      <rPr>
        <sz val="10"/>
        <color rgb="FF1E2126"/>
        <rFont val="Meiryo UI"/>
        <family val="0"/>
        <charset val="1"/>
      </rPr>
      <t xml:space="preserve">4</t>
    </r>
    <r>
      <rPr>
        <sz val="10"/>
        <color rgb="FF1E2126"/>
        <rFont val="WenQuanYi Zen Hei"/>
        <family val="2"/>
      </rPr>
      <t xml:space="preserve">分＋</t>
    </r>
    <r>
      <rPr>
        <sz val="10"/>
        <color rgb="FF1E2126"/>
        <rFont val="Meiryo UI"/>
        <family val="0"/>
        <charset val="1"/>
      </rPr>
      <t xml:space="preserve">4</t>
    </r>
    <r>
      <rPr>
        <sz val="10"/>
        <color rgb="FF1E2126"/>
        <rFont val="WenQuanYi Zen Hei"/>
        <family val="2"/>
      </rPr>
      <t xml:space="preserve">分＋</t>
    </r>
    <r>
      <rPr>
        <sz val="10"/>
        <color rgb="FF1E2126"/>
        <rFont val="Meiryo UI"/>
        <family val="0"/>
        <charset val="1"/>
      </rPr>
      <t xml:space="preserve">2</t>
    </r>
    <r>
      <rPr>
        <sz val="10"/>
        <color rgb="FF1E2126"/>
        <rFont val="WenQuanYi Zen Hei"/>
        <family val="2"/>
      </rPr>
      <t xml:space="preserve">分＝</t>
    </r>
    <r>
      <rPr>
        <sz val="10"/>
        <color rgb="FF1E2126"/>
        <rFont val="Meiryo UI"/>
        <family val="0"/>
        <charset val="1"/>
      </rPr>
      <t xml:space="preserve">13</t>
    </r>
    <r>
      <rPr>
        <sz val="10"/>
        <color rgb="FF1E2126"/>
        <rFont val="WenQuanYi Zen Hei"/>
        <family val="2"/>
      </rPr>
      <t xml:space="preserve">分）だとフェーズ全体の</t>
    </r>
    <r>
      <rPr>
        <sz val="10"/>
        <color rgb="FF1E2126"/>
        <rFont val="Meiryo UI"/>
        <family val="0"/>
        <charset val="1"/>
      </rPr>
      <t xml:space="preserve">13</t>
    </r>
    <r>
      <rPr>
        <sz val="10"/>
        <color rgb="FF1E2126"/>
        <rFont val="WenQuanYi Zen Hei"/>
        <family val="2"/>
      </rPr>
      <t xml:space="preserve">分を使い切り、</t>
    </r>
    <r>
      <rPr>
        <sz val="10"/>
        <color rgb="FF1E2126"/>
        <rFont val="Meiryo UI"/>
        <family val="0"/>
        <charset val="1"/>
      </rPr>
      <t xml:space="preserve">KR-Q</t>
    </r>
    <r>
      <rPr>
        <sz val="10"/>
        <color rgb="FF1E2126"/>
        <rFont val="WenQuanYi Zen Hei"/>
        <family val="2"/>
      </rPr>
      <t xml:space="preserve">の紹介や合意の場面が入らない。本案は「考える</t>
    </r>
    <r>
      <rPr>
        <sz val="10"/>
        <color rgb="FF1E2126"/>
        <rFont val="Meiryo UI"/>
        <family val="0"/>
        <charset val="1"/>
      </rPr>
      <t xml:space="preserve">2</t>
    </r>
    <r>
      <rPr>
        <sz val="10"/>
        <color rgb="FF1E2126"/>
        <rFont val="WenQuanYi Zen Hei"/>
        <family val="2"/>
      </rPr>
      <t xml:space="preserve">分＋まとめる</t>
    </r>
    <r>
      <rPr>
        <sz val="10"/>
        <color rgb="FF1E2126"/>
        <rFont val="Meiryo UI"/>
        <family val="0"/>
        <charset val="1"/>
      </rPr>
      <t xml:space="preserve">3</t>
    </r>
    <r>
      <rPr>
        <sz val="10"/>
        <color rgb="FF1E2126"/>
        <rFont val="WenQuanYi Zen Hei"/>
        <family val="2"/>
      </rPr>
      <t xml:space="preserve">分＋発表と反応</t>
    </r>
    <r>
      <rPr>
        <sz val="10"/>
        <color rgb="FF1E2126"/>
        <rFont val="Meiryo UI"/>
        <family val="0"/>
        <charset val="1"/>
      </rPr>
      <t xml:space="preserve">4</t>
    </r>
    <r>
      <rPr>
        <sz val="10"/>
        <color rgb="FF1E2126"/>
        <rFont val="WenQuanYi Zen Hei"/>
        <family val="2"/>
      </rPr>
      <t xml:space="preserve">分」に短縮。推奨どおりにする場合は、全体を</t>
    </r>
    <r>
      <rPr>
        <sz val="10"/>
        <color rgb="FF1E2126"/>
        <rFont val="Meiryo UI"/>
        <family val="0"/>
        <charset val="1"/>
      </rPr>
      <t xml:space="preserve">65</t>
    </r>
    <r>
      <rPr>
        <sz val="10"/>
        <color rgb="FF1E2126"/>
        <rFont val="WenQuanYi Zen Hei"/>
        <family val="2"/>
      </rPr>
      <t xml:space="preserve">分にするか、</t>
    </r>
    <r>
      <rPr>
        <sz val="10"/>
        <color rgb="FF1E2126"/>
        <rFont val="Meiryo UI"/>
        <family val="0"/>
        <charset val="1"/>
      </rPr>
      <t xml:space="preserve">ANALYSIS</t>
    </r>
    <r>
      <rPr>
        <sz val="10"/>
        <color rgb="FF1E2126"/>
        <rFont val="WenQuanYi Zen Hei"/>
        <family val="2"/>
      </rPr>
      <t xml:space="preserve">を</t>
    </r>
    <r>
      <rPr>
        <sz val="10"/>
        <color rgb="FF1E2126"/>
        <rFont val="Meiryo UI"/>
        <family val="0"/>
        <charset val="1"/>
      </rPr>
      <t xml:space="preserve">3</t>
    </r>
    <r>
      <rPr>
        <sz val="10"/>
        <color rgb="FF1E2126"/>
        <rFont val="WenQuanYi Zen Hei"/>
        <family val="2"/>
      </rPr>
      <t xml:space="preserve">分短くする</t>
    </r>
  </si>
  <si>
    <r>
      <rPr>
        <sz val="10"/>
        <color rgb="FF1E2126"/>
        <rFont val="Meiryo UI"/>
        <family val="0"/>
        <charset val="1"/>
      </rPr>
      <t xml:space="preserve">S35</t>
    </r>
    <r>
      <rPr>
        <sz val="10"/>
        <color rgb="FF1E2126"/>
        <rFont val="WenQuanYi Zen Hei"/>
        <family val="2"/>
      </rPr>
      <t xml:space="preserve">・</t>
    </r>
    <r>
      <rPr>
        <sz val="10"/>
        <color rgb="FF1E2126"/>
        <rFont val="Meiryo UI"/>
        <family val="0"/>
        <charset val="1"/>
      </rPr>
      <t xml:space="preserve">S36</t>
    </r>
  </si>
  <si>
    <t xml:space="preserve">営業企画（判断）</t>
  </si>
</sst>
</file>

<file path=xl/styles.xml><?xml version="1.0" encoding="utf-8"?>
<styleSheet xmlns="http://schemas.openxmlformats.org/spreadsheetml/2006/main">
  <numFmts count="3">
    <numFmt numFmtId="164" formatCode="General"/>
    <numFmt numFmtId="165" formatCode="General"/>
    <numFmt numFmtId="166" formatCode="0.00"/>
  </numFmts>
  <fonts count="22">
    <font>
      <sz val="11"/>
      <color theme="1"/>
      <name val="Calibri"/>
      <family val="2"/>
      <charset val="1"/>
    </font>
    <font>
      <sz val="10"/>
      <name val="Arial"/>
      <family val="0"/>
    </font>
    <font>
      <sz val="10"/>
      <name val="Arial"/>
      <family val="0"/>
    </font>
    <font>
      <sz val="10"/>
      <name val="Arial"/>
      <family val="0"/>
    </font>
    <font>
      <b val="true"/>
      <sz val="16"/>
      <color rgb="FF1E2126"/>
      <name val="WenQuanYi Zen Hei"/>
      <family val="2"/>
    </font>
    <font>
      <b val="true"/>
      <sz val="16"/>
      <color rgb="FF1E2126"/>
      <name val="Meiryo UI"/>
      <family val="0"/>
      <charset val="1"/>
    </font>
    <font>
      <sz val="10"/>
      <color rgb="FF5A6470"/>
      <name val="WenQuanYi Zen Hei"/>
      <family val="2"/>
    </font>
    <font>
      <sz val="10"/>
      <color rgb="FF5A6470"/>
      <name val="Meiryo UI"/>
      <family val="0"/>
      <charset val="1"/>
    </font>
    <font>
      <b val="true"/>
      <sz val="10"/>
      <color rgb="FFFFFFFF"/>
      <name val="WenQuanYi Zen Hei"/>
      <family val="2"/>
    </font>
    <font>
      <sz val="10"/>
      <color rgb="FF1E2126"/>
      <name val="WenQuanYi Zen Hei"/>
      <family val="2"/>
    </font>
    <font>
      <sz val="10"/>
      <color rgb="FF1E2126"/>
      <name val="Meiryo UI"/>
      <family val="0"/>
      <charset val="1"/>
    </font>
    <font>
      <b val="true"/>
      <sz val="10"/>
      <color rgb="FFFFFFFF"/>
      <name val="Meiryo UI"/>
      <family val="0"/>
      <charset val="1"/>
    </font>
    <font>
      <b val="true"/>
      <sz val="11"/>
      <name val="WenQuanYi Zen Hei"/>
      <family val="2"/>
    </font>
    <font>
      <sz val="10"/>
      <name val="WenQuanYi Zen Hei"/>
      <family val="2"/>
    </font>
    <font>
      <b val="true"/>
      <sz val="10"/>
      <name val="Meiryo UI"/>
      <family val="0"/>
      <charset val="1"/>
    </font>
    <font>
      <b val="true"/>
      <sz val="10"/>
      <name val="WenQuanYi Zen Hei"/>
      <family val="2"/>
    </font>
    <font>
      <sz val="10"/>
      <name val="Meiryo UI"/>
      <family val="0"/>
      <charset val="1"/>
    </font>
    <font>
      <sz val="9"/>
      <color rgb="FFE60012"/>
      <name val="WenQuanYi Zen Hei"/>
      <family val="2"/>
    </font>
    <font>
      <b val="true"/>
      <sz val="10"/>
      <color rgb="FF0000FF"/>
      <name val="Meiryo UI"/>
      <family val="0"/>
      <charset val="1"/>
    </font>
    <font>
      <b val="true"/>
      <sz val="10"/>
      <color rgb="FFE60012"/>
      <name val="Meiryo UI"/>
      <family val="0"/>
      <charset val="1"/>
    </font>
    <font>
      <b val="true"/>
      <sz val="11"/>
      <color rgb="FF1E2126"/>
      <name val="WenQuanYi Zen Hei"/>
      <family val="2"/>
    </font>
    <font>
      <b val="true"/>
      <sz val="11"/>
      <color rgb="FF1E2126"/>
      <name val="Meiryo UI"/>
      <family val="0"/>
      <charset val="1"/>
    </font>
  </fonts>
  <fills count="5">
    <fill>
      <patternFill patternType="none"/>
    </fill>
    <fill>
      <patternFill patternType="gray125"/>
    </fill>
    <fill>
      <patternFill patternType="solid">
        <fgColor rgb="FF1E2126"/>
        <bgColor rgb="FF333300"/>
      </patternFill>
    </fill>
    <fill>
      <patternFill patternType="solid">
        <fgColor rgb="FFFFF2CC"/>
        <bgColor rgb="FFFFF7F7"/>
      </patternFill>
    </fill>
    <fill>
      <patternFill patternType="solid">
        <fgColor rgb="FFE60012"/>
        <bgColor rgb="FF800000"/>
      </patternFill>
    </fill>
  </fills>
  <borders count="2">
    <border diagonalUp="false" diagonalDown="false">
      <left/>
      <right/>
      <top/>
      <bottom/>
      <diagonal/>
    </border>
    <border diagonalUp="false" diagonalDown="false">
      <left style="thin">
        <color rgb="FFD5D9DE"/>
      </left>
      <right style="thin">
        <color rgb="FFD5D9DE"/>
      </right>
      <top style="thin">
        <color rgb="FFD5D9DE"/>
      </top>
      <bottom style="thin">
        <color rgb="FFD5D9DE"/>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8" fillId="2" borderId="1" xfId="0" applyFont="true" applyBorder="true" applyAlignment="true" applyProtection="false">
      <alignment horizontal="center" vertical="center" textRotation="0" wrapText="true" indent="0" shrinkToFit="false"/>
      <protection locked="true" hidden="false"/>
    </xf>
    <xf numFmtId="164" fontId="9" fillId="0" borderId="1" xfId="0" applyFont="true" applyBorder="true" applyAlignment="true" applyProtection="false">
      <alignment horizontal="general" vertical="top" textRotation="0" wrapText="true" indent="0" shrinkToFit="false"/>
      <protection locked="true" hidden="false"/>
    </xf>
    <xf numFmtId="164" fontId="10" fillId="0" borderId="1" xfId="0" applyFont="true" applyBorder="true" applyAlignment="true" applyProtection="false">
      <alignment horizontal="general" vertical="top" textRotation="0" wrapText="true" indent="0" shrinkToFit="false"/>
      <protection locked="true" hidden="false"/>
    </xf>
    <xf numFmtId="164" fontId="6" fillId="3" borderId="0" xfId="0" applyFont="true" applyBorder="false" applyAlignment="false" applyProtection="false">
      <alignment horizontal="general" vertical="bottom" textRotation="0" wrapText="false" indent="0" shrinkToFit="false"/>
      <protection locked="true" hidden="false"/>
    </xf>
    <xf numFmtId="164" fontId="8" fillId="4" borderId="1" xfId="0" applyFont="true" applyBorder="true" applyAlignment="true" applyProtection="false">
      <alignment horizontal="center" vertical="center" textRotation="0" wrapText="tru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xf numFmtId="164" fontId="13" fillId="0" borderId="0" xfId="0" applyFont="true" applyBorder="false" applyAlignment="false" applyProtection="false">
      <alignment horizontal="general" vertical="bottom" textRotation="0" wrapText="false" indent="0" shrinkToFit="false"/>
      <protection locked="true" hidden="false"/>
    </xf>
    <xf numFmtId="165" fontId="14" fillId="0" borderId="0" xfId="0" applyFont="true" applyBorder="false" applyAlignment="false" applyProtection="false">
      <alignment horizontal="general" vertical="bottom" textRotation="0" wrapText="false" indent="0" shrinkToFit="false"/>
      <protection locked="true" hidden="false"/>
    </xf>
    <xf numFmtId="164" fontId="15" fillId="0" borderId="0" xfId="0" applyFont="true" applyBorder="false" applyAlignment="false" applyProtection="false">
      <alignment horizontal="general" vertical="bottom" textRotation="0" wrapText="false" indent="0" shrinkToFit="false"/>
      <protection locked="true" hidden="false"/>
    </xf>
    <xf numFmtId="164" fontId="8" fillId="2" borderId="1" xfId="0" applyFont="true" applyBorder="true" applyAlignment="false" applyProtection="false">
      <alignment horizontal="general" vertical="bottom" textRotation="0" wrapText="false" indent="0" shrinkToFit="false"/>
      <protection locked="true" hidden="false"/>
    </xf>
    <xf numFmtId="164" fontId="16" fillId="0" borderId="1" xfId="0" applyFont="true" applyBorder="true" applyAlignment="true" applyProtection="false">
      <alignment horizontal="general" vertical="top" textRotation="0" wrapText="true" indent="0" shrinkToFit="false"/>
      <protection locked="true" hidden="false"/>
    </xf>
    <xf numFmtId="164" fontId="13" fillId="0" borderId="1" xfId="0" applyFont="true" applyBorder="true" applyAlignment="true" applyProtection="false">
      <alignment horizontal="general" vertical="top" textRotation="0" wrapText="true" indent="0" shrinkToFit="false"/>
      <protection locked="true" hidden="false"/>
    </xf>
    <xf numFmtId="164" fontId="17" fillId="0" borderId="0" xfId="0" applyFont="true" applyBorder="false" applyAlignment="false" applyProtection="false">
      <alignment horizontal="general" vertical="bottom" textRotation="0" wrapText="false" indent="0" shrinkToFit="false"/>
      <protection locked="true" hidden="false"/>
    </xf>
    <xf numFmtId="164" fontId="11" fillId="2" borderId="1" xfId="0" applyFont="true" applyBorder="true" applyAlignment="true" applyProtection="false">
      <alignment horizontal="center" vertical="center" textRotation="0" wrapText="true" indent="0" shrinkToFit="false"/>
      <protection locked="true" hidden="false"/>
    </xf>
    <xf numFmtId="166" fontId="10" fillId="0" borderId="1" xfId="0" applyFont="true" applyBorder="true" applyAlignment="true" applyProtection="false">
      <alignment horizontal="center" vertical="center" textRotation="0" wrapText="true" indent="0" shrinkToFit="false"/>
      <protection locked="true" hidden="false"/>
    </xf>
    <xf numFmtId="164" fontId="18" fillId="0" borderId="1" xfId="0" applyFont="true" applyBorder="true" applyAlignment="true" applyProtection="false">
      <alignment horizontal="center" vertical="center" textRotation="0" wrapText="true" indent="0" shrinkToFit="false"/>
      <protection locked="true" hidden="false"/>
    </xf>
    <xf numFmtId="164" fontId="10" fillId="3" borderId="1" xfId="0" applyFont="true" applyBorder="true" applyAlignment="true" applyProtection="false">
      <alignment horizontal="general" vertical="top" textRotation="0" wrapText="true" indent="0" shrinkToFit="false"/>
      <protection locked="true" hidden="false"/>
    </xf>
    <xf numFmtId="164" fontId="19" fillId="0" borderId="0" xfId="0" applyFont="true" applyBorder="false" applyAlignment="false" applyProtection="false">
      <alignment horizontal="general" vertical="bottom" textRotation="0" wrapText="false" indent="0" shrinkToFit="false"/>
      <protection locked="true" hidden="false"/>
    </xf>
    <xf numFmtId="164" fontId="9" fillId="3" borderId="1" xfId="0" applyFont="true" applyBorder="true" applyAlignment="true" applyProtection="false">
      <alignment horizontal="general" vertical="top" textRotation="0" wrapText="true" indent="0" shrinkToFit="false"/>
      <protection locked="true" hidden="false"/>
    </xf>
    <xf numFmtId="164" fontId="16" fillId="0" borderId="0" xfId="0" applyFont="true" applyBorder="false" applyAlignment="false" applyProtection="false">
      <alignment horizontal="general" vertical="bottom" textRotation="0" wrapText="false" indent="0" shrinkToFit="false"/>
      <protection locked="true" hidden="false"/>
    </xf>
    <xf numFmtId="164" fontId="20" fillId="0" borderId="1" xfId="0" applyFont="true" applyBorder="true" applyAlignment="true" applyProtection="false">
      <alignment horizontal="center" vertical="center" textRotation="0" wrapText="true" indent="0" shrinkToFit="false"/>
      <protection locked="true" hidden="false"/>
    </xf>
    <xf numFmtId="164" fontId="21" fillId="0" borderId="1" xfId="0" applyFont="true" applyBorder="true" applyAlignment="true" applyProtection="false">
      <alignment horizontal="center"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
    <dxf>
      <fill>
        <patternFill>
          <bgColor rgb="FFFFF7F7"/>
        </patternFill>
      </fill>
    </dxf>
  </dxfs>
  <colors>
    <indexedColors>
      <rgbColor rgb="FF000000"/>
      <rgbColor rgb="FFFFFFFF"/>
      <rgbColor rgb="FFE60012"/>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2CC"/>
      <rgbColor rgb="FFFFF7F7"/>
      <rgbColor rgb="FF660066"/>
      <rgbColor rgb="FFFF8080"/>
      <rgbColor rgb="FF0066CC"/>
      <rgbColor rgb="FFD5D9DE"/>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A6470"/>
      <rgbColor rgb="FF969696"/>
      <rgbColor rgb="FF003366"/>
      <rgbColor rgb="FF339966"/>
      <rgbColor rgb="FF003300"/>
      <rgbColor rgb="FF333300"/>
      <rgbColor rgb="FF993300"/>
      <rgbColor rgb="FF993366"/>
      <rgbColor rgb="FF333399"/>
      <rgbColor rgb="FF1E2126"/>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B14"/>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28"/>
    <col collapsed="false" customWidth="true" hidden="false" outlineLevel="0" max="2" min="2" style="0" width="100"/>
  </cols>
  <sheetData>
    <row r="1" customFormat="false" ht="20.85" hidden="false" customHeight="false" outlineLevel="0" collapsed="false">
      <c r="A1" s="1" t="s">
        <v>0</v>
      </c>
    </row>
    <row r="2" customFormat="false" ht="15" hidden="false" customHeight="false" outlineLevel="0" collapsed="false">
      <c r="A2" s="2" t="s">
        <v>1</v>
      </c>
    </row>
    <row r="4" customFormat="false" ht="15" hidden="false" customHeight="false" outlineLevel="0" collapsed="false">
      <c r="A4" s="3" t="s">
        <v>2</v>
      </c>
      <c r="B4" s="3" t="s">
        <v>3</v>
      </c>
    </row>
    <row r="5" customFormat="false" ht="15" hidden="false" customHeight="false" outlineLevel="0" collapsed="false">
      <c r="A5" s="4" t="s">
        <v>4</v>
      </c>
      <c r="B5" s="4" t="s">
        <v>5</v>
      </c>
    </row>
    <row r="6" customFormat="false" ht="15" hidden="false" customHeight="false" outlineLevel="0" collapsed="false">
      <c r="A6" s="4" t="s">
        <v>6</v>
      </c>
      <c r="B6" s="5" t="s">
        <v>7</v>
      </c>
    </row>
    <row r="7" customFormat="false" ht="15" hidden="false" customHeight="false" outlineLevel="0" collapsed="false">
      <c r="A7" s="4" t="s">
        <v>8</v>
      </c>
      <c r="B7" s="5" t="s">
        <v>9</v>
      </c>
    </row>
    <row r="8" customFormat="false" ht="15" hidden="false" customHeight="false" outlineLevel="0" collapsed="false">
      <c r="A8" s="4" t="s">
        <v>10</v>
      </c>
      <c r="B8" s="4" t="s">
        <v>11</v>
      </c>
    </row>
    <row r="9" customFormat="false" ht="15" hidden="false" customHeight="false" outlineLevel="0" collapsed="false">
      <c r="A9" s="4" t="s">
        <v>12</v>
      </c>
      <c r="B9" s="4" t="s">
        <v>13</v>
      </c>
    </row>
    <row r="10" customFormat="false" ht="15" hidden="false" customHeight="false" outlineLevel="0" collapsed="false">
      <c r="A10" s="4" t="s">
        <v>14</v>
      </c>
      <c r="B10" s="4" t="s">
        <v>15</v>
      </c>
    </row>
    <row r="11" customFormat="false" ht="15" hidden="false" customHeight="false" outlineLevel="0" collapsed="false">
      <c r="A11" s="4" t="s">
        <v>16</v>
      </c>
      <c r="B11" s="4" t="s">
        <v>17</v>
      </c>
    </row>
    <row r="12" customFormat="false" ht="15" hidden="false" customHeight="false" outlineLevel="0" collapsed="false">
      <c r="A12" s="4" t="s">
        <v>18</v>
      </c>
      <c r="B12" s="4" t="s">
        <v>19</v>
      </c>
    </row>
    <row r="14" customFormat="false" ht="15" hidden="false" customHeight="false" outlineLevel="0" collapsed="false">
      <c r="A14" s="6" t="s">
        <v>20</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E9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8"/>
    <col collapsed="false" customWidth="true" hidden="false" outlineLevel="0" max="2" min="2" style="0" width="34"/>
    <col collapsed="false" customWidth="true" hidden="false" outlineLevel="0" max="3" min="3" style="0" width="14"/>
    <col collapsed="false" customWidth="true" hidden="false" outlineLevel="0" max="4" min="4" style="0" width="22"/>
    <col collapsed="false" customWidth="true" hidden="false" outlineLevel="0" max="5" min="5" style="0" width="70"/>
  </cols>
  <sheetData>
    <row r="1" customFormat="false" ht="20.85" hidden="false" customHeight="false" outlineLevel="0" collapsed="false">
      <c r="A1" s="1" t="s">
        <v>21</v>
      </c>
    </row>
    <row r="2" customFormat="false" ht="15" hidden="false" customHeight="false" outlineLevel="0" collapsed="false">
      <c r="A2" s="2" t="s">
        <v>22</v>
      </c>
    </row>
    <row r="4" customFormat="false" ht="15" hidden="false" customHeight="false" outlineLevel="0" collapsed="false">
      <c r="A4" s="3" t="s">
        <v>23</v>
      </c>
      <c r="B4" s="3" t="s">
        <v>24</v>
      </c>
      <c r="C4" s="7" t="s">
        <v>25</v>
      </c>
      <c r="D4" s="3" t="s">
        <v>26</v>
      </c>
      <c r="E4" s="3" t="s">
        <v>27</v>
      </c>
    </row>
    <row r="5" customFormat="false" ht="15" hidden="false" customHeight="false" outlineLevel="0" collapsed="false">
      <c r="A5" s="4" t="n">
        <v>1</v>
      </c>
      <c r="B5" s="5" t="s">
        <v>28</v>
      </c>
      <c r="C5" s="4" t="s">
        <v>29</v>
      </c>
      <c r="D5" s="5" t="s">
        <v>30</v>
      </c>
      <c r="E5" s="4" t="s">
        <v>31</v>
      </c>
    </row>
    <row r="6" customFormat="false" ht="15" hidden="false" customHeight="false" outlineLevel="0" collapsed="false">
      <c r="A6" s="4" t="n">
        <v>2</v>
      </c>
      <c r="B6" s="4" t="s">
        <v>32</v>
      </c>
      <c r="C6" s="4" t="s">
        <v>33</v>
      </c>
      <c r="D6" s="5" t="s">
        <v>34</v>
      </c>
      <c r="E6" s="4" t="s">
        <v>35</v>
      </c>
    </row>
    <row r="7" customFormat="false" ht="15" hidden="false" customHeight="false" outlineLevel="0" collapsed="false">
      <c r="A7" s="4" t="n">
        <v>3</v>
      </c>
      <c r="B7" s="4" t="s">
        <v>36</v>
      </c>
      <c r="C7" s="4" t="s">
        <v>29</v>
      </c>
      <c r="D7" s="5" t="s">
        <v>37</v>
      </c>
      <c r="E7" s="4" t="s">
        <v>38</v>
      </c>
    </row>
    <row r="8" customFormat="false" ht="15" hidden="false" customHeight="false" outlineLevel="0" collapsed="false">
      <c r="A8" s="4" t="n">
        <v>4</v>
      </c>
      <c r="B8" s="4" t="s">
        <v>39</v>
      </c>
      <c r="C8" s="4" t="s">
        <v>40</v>
      </c>
      <c r="D8" s="4" t="s">
        <v>41</v>
      </c>
      <c r="E8" s="4" t="s">
        <v>42</v>
      </c>
    </row>
    <row r="9" customFormat="false" ht="15" hidden="false" customHeight="false" outlineLevel="0" collapsed="false">
      <c r="A9" s="4" t="n">
        <v>5</v>
      </c>
      <c r="B9" s="4" t="s">
        <v>43</v>
      </c>
      <c r="C9" s="4" t="s">
        <v>33</v>
      </c>
      <c r="D9" s="5" t="s">
        <v>44</v>
      </c>
      <c r="E9" s="5" t="s">
        <v>45</v>
      </c>
    </row>
    <row r="10" customFormat="false" ht="15" hidden="false" customHeight="false" outlineLevel="0" collapsed="false">
      <c r="A10" s="4" t="n">
        <v>6</v>
      </c>
      <c r="B10" s="4" t="s">
        <v>46</v>
      </c>
      <c r="C10" s="4" t="s">
        <v>33</v>
      </c>
      <c r="D10" s="5" t="s">
        <v>44</v>
      </c>
      <c r="E10" s="4" t="s">
        <v>47</v>
      </c>
    </row>
    <row r="11" customFormat="false" ht="15" hidden="false" customHeight="false" outlineLevel="0" collapsed="false">
      <c r="A11" s="4" t="n">
        <v>7</v>
      </c>
      <c r="B11" s="4" t="s">
        <v>48</v>
      </c>
      <c r="C11" s="4" t="s">
        <v>33</v>
      </c>
      <c r="D11" s="5" t="s">
        <v>44</v>
      </c>
      <c r="E11" s="4" t="s">
        <v>49</v>
      </c>
    </row>
    <row r="12" customFormat="false" ht="15" hidden="false" customHeight="false" outlineLevel="0" collapsed="false">
      <c r="A12" s="4" t="n">
        <v>8</v>
      </c>
      <c r="B12" s="4" t="s">
        <v>50</v>
      </c>
      <c r="C12" s="4" t="s">
        <v>29</v>
      </c>
      <c r="D12" s="5" t="s">
        <v>51</v>
      </c>
      <c r="E12" s="4" t="s">
        <v>52</v>
      </c>
    </row>
    <row r="13" customFormat="false" ht="15" hidden="false" customHeight="false" outlineLevel="0" collapsed="false">
      <c r="A13" s="4" t="n">
        <v>9</v>
      </c>
      <c r="B13" s="4" t="s">
        <v>53</v>
      </c>
      <c r="C13" s="4" t="s">
        <v>29</v>
      </c>
      <c r="D13" s="5" t="s">
        <v>54</v>
      </c>
      <c r="E13" s="4" t="s">
        <v>55</v>
      </c>
    </row>
    <row r="14" customFormat="false" ht="15" hidden="false" customHeight="false" outlineLevel="0" collapsed="false">
      <c r="A14" s="4" t="n">
        <v>10</v>
      </c>
      <c r="B14" s="4" t="s">
        <v>56</v>
      </c>
      <c r="C14" s="4" t="s">
        <v>40</v>
      </c>
      <c r="D14" s="4" t="s">
        <v>57</v>
      </c>
      <c r="E14" s="4" t="s">
        <v>49</v>
      </c>
    </row>
    <row r="15" customFormat="false" ht="15" hidden="false" customHeight="false" outlineLevel="0" collapsed="false">
      <c r="A15" s="4" t="n">
        <v>11</v>
      </c>
      <c r="B15" s="4" t="s">
        <v>58</v>
      </c>
      <c r="C15" s="4" t="s">
        <v>33</v>
      </c>
      <c r="D15" s="5" t="s">
        <v>59</v>
      </c>
      <c r="E15" s="5" t="s">
        <v>60</v>
      </c>
    </row>
    <row r="16" customFormat="false" ht="15" hidden="false" customHeight="false" outlineLevel="0" collapsed="false">
      <c r="A16" s="4" t="n">
        <v>12</v>
      </c>
      <c r="B16" s="4" t="s">
        <v>61</v>
      </c>
      <c r="C16" s="4" t="s">
        <v>33</v>
      </c>
      <c r="D16" s="5" t="s">
        <v>59</v>
      </c>
      <c r="E16" s="4" t="s">
        <v>49</v>
      </c>
    </row>
    <row r="17" customFormat="false" ht="15" hidden="false" customHeight="false" outlineLevel="0" collapsed="false">
      <c r="A17" s="4" t="n">
        <v>13</v>
      </c>
      <c r="B17" s="4" t="s">
        <v>62</v>
      </c>
      <c r="C17" s="4" t="s">
        <v>33</v>
      </c>
      <c r="D17" s="5" t="s">
        <v>59</v>
      </c>
      <c r="E17" s="4" t="s">
        <v>63</v>
      </c>
    </row>
    <row r="18" customFormat="false" ht="15" hidden="false" customHeight="false" outlineLevel="0" collapsed="false">
      <c r="A18" s="4" t="n">
        <v>14</v>
      </c>
      <c r="B18" s="4" t="s">
        <v>64</v>
      </c>
      <c r="C18" s="4" t="s">
        <v>65</v>
      </c>
      <c r="D18" s="5" t="s">
        <v>66</v>
      </c>
      <c r="E18" s="4" t="s">
        <v>67</v>
      </c>
    </row>
    <row r="19" customFormat="false" ht="15" hidden="false" customHeight="false" outlineLevel="0" collapsed="false">
      <c r="A19" s="4" t="n">
        <v>15</v>
      </c>
      <c r="B19" s="4" t="s">
        <v>68</v>
      </c>
      <c r="C19" s="4" t="s">
        <v>69</v>
      </c>
      <c r="D19" s="5" t="s">
        <v>70</v>
      </c>
      <c r="E19" s="5" t="s">
        <v>71</v>
      </c>
    </row>
    <row r="20" customFormat="false" ht="15" hidden="false" customHeight="false" outlineLevel="0" collapsed="false">
      <c r="A20" s="4" t="n">
        <v>16</v>
      </c>
      <c r="B20" s="4" t="s">
        <v>72</v>
      </c>
      <c r="C20" s="4" t="s">
        <v>33</v>
      </c>
      <c r="D20" s="5" t="s">
        <v>70</v>
      </c>
      <c r="E20" s="4" t="s">
        <v>73</v>
      </c>
    </row>
    <row r="21" customFormat="false" ht="15" hidden="false" customHeight="false" outlineLevel="0" collapsed="false">
      <c r="A21" s="4" t="n">
        <v>17</v>
      </c>
      <c r="B21" s="4" t="s">
        <v>74</v>
      </c>
      <c r="C21" s="4" t="s">
        <v>33</v>
      </c>
      <c r="D21" s="5" t="s">
        <v>75</v>
      </c>
      <c r="E21" s="4" t="s">
        <v>76</v>
      </c>
    </row>
    <row r="22" customFormat="false" ht="15" hidden="false" customHeight="false" outlineLevel="0" collapsed="false">
      <c r="A22" s="4" t="n">
        <v>18</v>
      </c>
      <c r="B22" s="4" t="s">
        <v>77</v>
      </c>
      <c r="C22" s="4" t="s">
        <v>33</v>
      </c>
      <c r="D22" s="5" t="s">
        <v>78</v>
      </c>
      <c r="E22" s="4" t="s">
        <v>49</v>
      </c>
    </row>
    <row r="23" customFormat="false" ht="15" hidden="false" customHeight="false" outlineLevel="0" collapsed="false">
      <c r="A23" s="4" t="n">
        <v>19</v>
      </c>
      <c r="B23" s="4" t="s">
        <v>79</v>
      </c>
      <c r="C23" s="4" t="s">
        <v>33</v>
      </c>
      <c r="D23" s="5" t="s">
        <v>80</v>
      </c>
      <c r="E23" s="5" t="s">
        <v>81</v>
      </c>
    </row>
    <row r="24" customFormat="false" ht="15" hidden="false" customHeight="false" outlineLevel="0" collapsed="false">
      <c r="A24" s="4" t="n">
        <v>20</v>
      </c>
      <c r="B24" s="4" t="s">
        <v>82</v>
      </c>
      <c r="C24" s="4" t="s">
        <v>29</v>
      </c>
      <c r="D24" s="5" t="s">
        <v>83</v>
      </c>
      <c r="E24" s="4" t="s">
        <v>84</v>
      </c>
    </row>
    <row r="25" customFormat="false" ht="15" hidden="false" customHeight="false" outlineLevel="0" collapsed="false">
      <c r="A25" s="4" t="n">
        <v>21</v>
      </c>
      <c r="B25" s="4" t="s">
        <v>85</v>
      </c>
      <c r="C25" s="4" t="s">
        <v>86</v>
      </c>
      <c r="D25" s="5" t="s">
        <v>87</v>
      </c>
      <c r="E25" s="4" t="s">
        <v>55</v>
      </c>
    </row>
    <row r="26" customFormat="false" ht="15" hidden="false" customHeight="false" outlineLevel="0" collapsed="false">
      <c r="A26" s="4" t="n">
        <v>22</v>
      </c>
      <c r="B26" s="4" t="s">
        <v>88</v>
      </c>
      <c r="C26" s="4" t="s">
        <v>40</v>
      </c>
      <c r="D26" s="4" t="s">
        <v>89</v>
      </c>
      <c r="E26" s="4"/>
    </row>
    <row r="27" customFormat="false" ht="15" hidden="false" customHeight="false" outlineLevel="0" collapsed="false">
      <c r="A27" s="4" t="n">
        <v>23</v>
      </c>
      <c r="B27" s="4" t="s">
        <v>90</v>
      </c>
      <c r="C27" s="4" t="s">
        <v>33</v>
      </c>
      <c r="D27" s="5" t="s">
        <v>91</v>
      </c>
      <c r="E27" s="4" t="s">
        <v>92</v>
      </c>
    </row>
    <row r="28" customFormat="false" ht="15" hidden="false" customHeight="false" outlineLevel="0" collapsed="false">
      <c r="A28" s="4" t="n">
        <v>24</v>
      </c>
      <c r="B28" s="4" t="s">
        <v>93</v>
      </c>
      <c r="C28" s="4" t="s">
        <v>33</v>
      </c>
      <c r="D28" s="5" t="s">
        <v>91</v>
      </c>
      <c r="E28" s="4" t="s">
        <v>94</v>
      </c>
    </row>
    <row r="29" customFormat="false" ht="15" hidden="false" customHeight="false" outlineLevel="0" collapsed="false">
      <c r="A29" s="4" t="n">
        <v>25</v>
      </c>
      <c r="B29" s="4" t="s">
        <v>95</v>
      </c>
      <c r="C29" s="4" t="s">
        <v>33</v>
      </c>
      <c r="D29" s="5" t="s">
        <v>96</v>
      </c>
      <c r="E29" s="4" t="s">
        <v>97</v>
      </c>
    </row>
    <row r="30" customFormat="false" ht="15" hidden="false" customHeight="false" outlineLevel="0" collapsed="false">
      <c r="A30" s="4" t="n">
        <v>26</v>
      </c>
      <c r="B30" s="4" t="s">
        <v>98</v>
      </c>
      <c r="C30" s="4" t="s">
        <v>33</v>
      </c>
      <c r="D30" s="5" t="s">
        <v>99</v>
      </c>
      <c r="E30" s="4" t="s">
        <v>100</v>
      </c>
    </row>
    <row r="31" customFormat="false" ht="15" hidden="false" customHeight="false" outlineLevel="0" collapsed="false">
      <c r="A31" s="4" t="n">
        <v>27</v>
      </c>
      <c r="B31" s="4" t="s">
        <v>101</v>
      </c>
      <c r="C31" s="4" t="s">
        <v>29</v>
      </c>
      <c r="D31" s="5" t="s">
        <v>102</v>
      </c>
      <c r="E31" s="4" t="s">
        <v>103</v>
      </c>
    </row>
    <row r="32" customFormat="false" ht="15" hidden="false" customHeight="false" outlineLevel="0" collapsed="false">
      <c r="A32" s="4" t="n">
        <v>28</v>
      </c>
      <c r="B32" s="4" t="s">
        <v>104</v>
      </c>
      <c r="C32" s="4" t="s">
        <v>69</v>
      </c>
      <c r="D32" s="5" t="s">
        <v>102</v>
      </c>
      <c r="E32" s="5" t="s">
        <v>105</v>
      </c>
    </row>
    <row r="33" customFormat="false" ht="15" hidden="false" customHeight="false" outlineLevel="0" collapsed="false">
      <c r="A33" s="4" t="n">
        <v>29</v>
      </c>
      <c r="B33" s="4" t="s">
        <v>106</v>
      </c>
      <c r="C33" s="4" t="s">
        <v>40</v>
      </c>
      <c r="D33" s="4" t="s">
        <v>107</v>
      </c>
      <c r="E33" s="4"/>
    </row>
    <row r="34" customFormat="false" ht="15" hidden="false" customHeight="false" outlineLevel="0" collapsed="false">
      <c r="A34" s="4" t="n">
        <v>30</v>
      </c>
      <c r="B34" s="4" t="s">
        <v>108</v>
      </c>
      <c r="C34" s="4" t="s">
        <v>33</v>
      </c>
      <c r="D34" s="5" t="s">
        <v>109</v>
      </c>
      <c r="E34" s="4" t="s">
        <v>110</v>
      </c>
    </row>
    <row r="35" customFormat="false" ht="15" hidden="false" customHeight="false" outlineLevel="0" collapsed="false">
      <c r="A35" s="4" t="n">
        <v>31</v>
      </c>
      <c r="B35" s="4" t="s">
        <v>111</v>
      </c>
      <c r="C35" s="4" t="s">
        <v>33</v>
      </c>
      <c r="D35" s="5" t="s">
        <v>109</v>
      </c>
      <c r="E35" s="4" t="s">
        <v>112</v>
      </c>
    </row>
    <row r="36" customFormat="false" ht="15" hidden="false" customHeight="false" outlineLevel="0" collapsed="false">
      <c r="A36" s="4" t="n">
        <v>32</v>
      </c>
      <c r="B36" s="4" t="s">
        <v>113</v>
      </c>
      <c r="C36" s="4" t="s">
        <v>33</v>
      </c>
      <c r="D36" s="5" t="s">
        <v>109</v>
      </c>
      <c r="E36" s="4" t="s">
        <v>49</v>
      </c>
    </row>
    <row r="37" customFormat="false" ht="15" hidden="false" customHeight="false" outlineLevel="0" collapsed="false">
      <c r="A37" s="4" t="n">
        <v>33</v>
      </c>
      <c r="B37" s="4" t="s">
        <v>114</v>
      </c>
      <c r="C37" s="4" t="s">
        <v>69</v>
      </c>
      <c r="D37" s="5" t="s">
        <v>115</v>
      </c>
      <c r="E37" s="5" t="s">
        <v>116</v>
      </c>
    </row>
    <row r="38" customFormat="false" ht="15" hidden="false" customHeight="false" outlineLevel="0" collapsed="false">
      <c r="A38" s="4" t="n">
        <v>34</v>
      </c>
      <c r="B38" s="4" t="s">
        <v>117</v>
      </c>
      <c r="C38" s="4" t="s">
        <v>40</v>
      </c>
      <c r="D38" s="4" t="s">
        <v>118</v>
      </c>
      <c r="E38" s="4"/>
    </row>
    <row r="39" customFormat="false" ht="15" hidden="false" customHeight="false" outlineLevel="0" collapsed="false">
      <c r="A39" s="4" t="n">
        <v>35</v>
      </c>
      <c r="B39" s="4" t="s">
        <v>119</v>
      </c>
      <c r="C39" s="4" t="s">
        <v>120</v>
      </c>
      <c r="D39" s="4" t="s">
        <v>121</v>
      </c>
      <c r="E39" s="4" t="s">
        <v>122</v>
      </c>
    </row>
    <row r="40" customFormat="false" ht="15" hidden="false" customHeight="false" outlineLevel="0" collapsed="false">
      <c r="A40" s="4" t="n">
        <v>36</v>
      </c>
      <c r="B40" s="4" t="s">
        <v>123</v>
      </c>
      <c r="C40" s="4" t="s">
        <v>33</v>
      </c>
      <c r="D40" s="5" t="s">
        <v>124</v>
      </c>
      <c r="E40" s="5" t="s">
        <v>125</v>
      </c>
    </row>
    <row r="41" customFormat="false" ht="15" hidden="false" customHeight="false" outlineLevel="0" collapsed="false">
      <c r="A41" s="4" t="n">
        <v>37</v>
      </c>
      <c r="B41" s="4" t="s">
        <v>126</v>
      </c>
      <c r="C41" s="4" t="s">
        <v>33</v>
      </c>
      <c r="D41" s="5" t="s">
        <v>127</v>
      </c>
      <c r="E41" s="4" t="s">
        <v>128</v>
      </c>
    </row>
    <row r="42" customFormat="false" ht="15" hidden="false" customHeight="false" outlineLevel="0" collapsed="false">
      <c r="A42" s="4" t="n">
        <v>38</v>
      </c>
      <c r="B42" s="4" t="s">
        <v>129</v>
      </c>
      <c r="C42" s="4" t="s">
        <v>130</v>
      </c>
      <c r="D42" s="5" t="s">
        <v>131</v>
      </c>
      <c r="E42" s="4" t="s">
        <v>132</v>
      </c>
    </row>
    <row r="43" customFormat="false" ht="15" hidden="false" customHeight="false" outlineLevel="0" collapsed="false">
      <c r="A43" s="4" t="n">
        <v>39</v>
      </c>
      <c r="B43" s="4" t="s">
        <v>133</v>
      </c>
      <c r="C43" s="4" t="s">
        <v>33</v>
      </c>
      <c r="D43" s="5" t="s">
        <v>134</v>
      </c>
      <c r="E43" s="4" t="s">
        <v>135</v>
      </c>
    </row>
    <row r="44" customFormat="false" ht="15" hidden="false" customHeight="false" outlineLevel="0" collapsed="false">
      <c r="A44" s="4" t="n">
        <v>40</v>
      </c>
      <c r="B44" s="4" t="s">
        <v>136</v>
      </c>
      <c r="C44" s="4" t="s">
        <v>69</v>
      </c>
      <c r="D44" s="5" t="s">
        <v>137</v>
      </c>
      <c r="E44" s="5" t="s">
        <v>138</v>
      </c>
    </row>
    <row r="45" customFormat="false" ht="15" hidden="false" customHeight="false" outlineLevel="0" collapsed="false">
      <c r="A45" s="4" t="n">
        <v>41</v>
      </c>
      <c r="B45" s="4" t="s">
        <v>139</v>
      </c>
      <c r="C45" s="4" t="s">
        <v>33</v>
      </c>
      <c r="D45" s="5" t="s">
        <v>137</v>
      </c>
      <c r="E45" s="4" t="s">
        <v>140</v>
      </c>
    </row>
    <row r="46" customFormat="false" ht="26.85" hidden="false" customHeight="false" outlineLevel="0" collapsed="false">
      <c r="A46" s="4" t="n">
        <v>42</v>
      </c>
      <c r="B46" s="4" t="s">
        <v>141</v>
      </c>
      <c r="C46" s="4" t="s">
        <v>40</v>
      </c>
      <c r="D46" s="4" t="s">
        <v>142</v>
      </c>
      <c r="E46" s="4" t="s">
        <v>143</v>
      </c>
    </row>
    <row r="47" customFormat="false" ht="15" hidden="false" customHeight="false" outlineLevel="0" collapsed="false">
      <c r="A47" s="4" t="n">
        <v>43</v>
      </c>
      <c r="B47" s="4" t="s">
        <v>144</v>
      </c>
      <c r="C47" s="4" t="s">
        <v>40</v>
      </c>
      <c r="D47" s="5" t="s">
        <v>145</v>
      </c>
      <c r="E47" s="4" t="s">
        <v>146</v>
      </c>
    </row>
    <row r="48" customFormat="false" ht="15" hidden="false" customHeight="false" outlineLevel="0" collapsed="false">
      <c r="A48" s="4" t="n">
        <v>44</v>
      </c>
      <c r="B48" s="4" t="s">
        <v>147</v>
      </c>
      <c r="C48" s="4" t="s">
        <v>33</v>
      </c>
      <c r="D48" s="5" t="s">
        <v>131</v>
      </c>
      <c r="E48" s="4" t="s">
        <v>148</v>
      </c>
    </row>
    <row r="49" customFormat="false" ht="15" hidden="false" customHeight="false" outlineLevel="0" collapsed="false">
      <c r="A49" s="4" t="n">
        <v>45</v>
      </c>
      <c r="B49" s="5" t="s">
        <v>149</v>
      </c>
      <c r="C49" s="4" t="s">
        <v>29</v>
      </c>
      <c r="D49" s="5" t="s">
        <v>150</v>
      </c>
      <c r="E49" s="4" t="s">
        <v>151</v>
      </c>
    </row>
    <row r="50" customFormat="false" ht="15" hidden="false" customHeight="false" outlineLevel="0" collapsed="false">
      <c r="A50" s="4" t="n">
        <v>46</v>
      </c>
      <c r="B50" s="4" t="s">
        <v>152</v>
      </c>
      <c r="C50" s="4" t="s">
        <v>33</v>
      </c>
      <c r="D50" s="5" t="s">
        <v>153</v>
      </c>
      <c r="E50" s="4" t="s">
        <v>154</v>
      </c>
    </row>
    <row r="51" customFormat="false" ht="15" hidden="false" customHeight="false" outlineLevel="0" collapsed="false">
      <c r="A51" s="4" t="n">
        <v>47</v>
      </c>
      <c r="B51" s="4" t="s">
        <v>155</v>
      </c>
      <c r="C51" s="4" t="s">
        <v>33</v>
      </c>
      <c r="D51" s="5" t="s">
        <v>153</v>
      </c>
      <c r="E51" s="4" t="s">
        <v>156</v>
      </c>
    </row>
    <row r="52" customFormat="false" ht="15" hidden="false" customHeight="false" outlineLevel="0" collapsed="false">
      <c r="A52" s="4" t="n">
        <v>48</v>
      </c>
      <c r="B52" s="4" t="s">
        <v>157</v>
      </c>
      <c r="C52" s="4" t="s">
        <v>40</v>
      </c>
      <c r="D52" s="4" t="s">
        <v>158</v>
      </c>
      <c r="E52" s="4"/>
    </row>
    <row r="53" customFormat="false" ht="15" hidden="false" customHeight="false" outlineLevel="0" collapsed="false">
      <c r="A53" s="4" t="n">
        <v>49</v>
      </c>
      <c r="B53" s="4" t="s">
        <v>159</v>
      </c>
      <c r="C53" s="4" t="s">
        <v>120</v>
      </c>
      <c r="D53" s="4" t="s">
        <v>158</v>
      </c>
      <c r="E53" s="4" t="s">
        <v>160</v>
      </c>
    </row>
    <row r="54" customFormat="false" ht="15" hidden="false" customHeight="false" outlineLevel="0" collapsed="false">
      <c r="A54" s="4" t="n">
        <v>50</v>
      </c>
      <c r="B54" s="4" t="s">
        <v>161</v>
      </c>
      <c r="C54" s="4" t="s">
        <v>33</v>
      </c>
      <c r="D54" s="5" t="s">
        <v>153</v>
      </c>
      <c r="E54" s="4" t="s">
        <v>162</v>
      </c>
    </row>
    <row r="55" customFormat="false" ht="15" hidden="false" customHeight="false" outlineLevel="0" collapsed="false">
      <c r="A55" s="4" t="n">
        <v>51</v>
      </c>
      <c r="B55" s="4" t="s">
        <v>163</v>
      </c>
      <c r="C55" s="4" t="s">
        <v>120</v>
      </c>
      <c r="D55" s="5" t="s">
        <v>164</v>
      </c>
      <c r="E55" s="4" t="s">
        <v>49</v>
      </c>
    </row>
    <row r="56" customFormat="false" ht="15" hidden="false" customHeight="false" outlineLevel="0" collapsed="false">
      <c r="A56" s="4" t="n">
        <v>52</v>
      </c>
      <c r="B56" s="4" t="s">
        <v>165</v>
      </c>
      <c r="C56" s="4" t="s">
        <v>33</v>
      </c>
      <c r="D56" s="5" t="s">
        <v>153</v>
      </c>
      <c r="E56" s="4" t="s">
        <v>166</v>
      </c>
    </row>
    <row r="57" customFormat="false" ht="15" hidden="false" customHeight="false" outlineLevel="0" collapsed="false">
      <c r="A57" s="4" t="n">
        <v>53</v>
      </c>
      <c r="B57" s="4" t="s">
        <v>167</v>
      </c>
      <c r="C57" s="4" t="s">
        <v>33</v>
      </c>
      <c r="D57" s="5" t="s">
        <v>168</v>
      </c>
      <c r="E57" s="4" t="s">
        <v>156</v>
      </c>
    </row>
    <row r="58" customFormat="false" ht="15" hidden="false" customHeight="false" outlineLevel="0" collapsed="false">
      <c r="A58" s="4" t="n">
        <v>54</v>
      </c>
      <c r="B58" s="4" t="s">
        <v>169</v>
      </c>
      <c r="C58" s="4" t="s">
        <v>40</v>
      </c>
      <c r="D58" s="4" t="s">
        <v>170</v>
      </c>
      <c r="E58" s="4"/>
    </row>
    <row r="59" customFormat="false" ht="15" hidden="false" customHeight="false" outlineLevel="0" collapsed="false">
      <c r="A59" s="4" t="n">
        <v>55</v>
      </c>
      <c r="B59" s="4" t="s">
        <v>171</v>
      </c>
      <c r="C59" s="4" t="s">
        <v>33</v>
      </c>
      <c r="D59" s="5" t="s">
        <v>168</v>
      </c>
      <c r="E59" s="4" t="s">
        <v>172</v>
      </c>
    </row>
    <row r="60" customFormat="false" ht="15" hidden="false" customHeight="false" outlineLevel="0" collapsed="false">
      <c r="A60" s="4" t="n">
        <v>56</v>
      </c>
      <c r="B60" s="4" t="s">
        <v>173</v>
      </c>
      <c r="C60" s="4" t="s">
        <v>33</v>
      </c>
      <c r="D60" s="5" t="s">
        <v>174</v>
      </c>
      <c r="E60" s="4" t="s">
        <v>175</v>
      </c>
    </row>
    <row r="61" customFormat="false" ht="15" hidden="false" customHeight="false" outlineLevel="0" collapsed="false">
      <c r="A61" s="4" t="n">
        <v>57</v>
      </c>
      <c r="B61" s="4" t="s">
        <v>176</v>
      </c>
      <c r="C61" s="4" t="s">
        <v>120</v>
      </c>
      <c r="D61" s="5" t="s">
        <v>164</v>
      </c>
      <c r="E61" s="4" t="s">
        <v>177</v>
      </c>
    </row>
    <row r="62" customFormat="false" ht="15" hidden="false" customHeight="false" outlineLevel="0" collapsed="false">
      <c r="A62" s="4" t="n">
        <v>58</v>
      </c>
      <c r="B62" s="4" t="s">
        <v>178</v>
      </c>
      <c r="C62" s="4" t="s">
        <v>40</v>
      </c>
      <c r="D62" s="5" t="s">
        <v>179</v>
      </c>
      <c r="E62" s="4" t="s">
        <v>180</v>
      </c>
    </row>
    <row r="63" customFormat="false" ht="15" hidden="false" customHeight="false" outlineLevel="0" collapsed="false">
      <c r="A63" s="4" t="n">
        <v>59</v>
      </c>
      <c r="B63" s="4" t="s">
        <v>181</v>
      </c>
      <c r="C63" s="4" t="s">
        <v>33</v>
      </c>
      <c r="D63" s="5" t="s">
        <v>168</v>
      </c>
      <c r="E63" s="4" t="s">
        <v>182</v>
      </c>
    </row>
    <row r="64" customFormat="false" ht="15" hidden="false" customHeight="false" outlineLevel="0" collapsed="false">
      <c r="A64" s="4" t="n">
        <v>60</v>
      </c>
      <c r="B64" s="4" t="s">
        <v>183</v>
      </c>
      <c r="C64" s="4" t="s">
        <v>33</v>
      </c>
      <c r="D64" s="5" t="s">
        <v>184</v>
      </c>
      <c r="E64" s="5" t="s">
        <v>185</v>
      </c>
    </row>
    <row r="65" customFormat="false" ht="15" hidden="false" customHeight="false" outlineLevel="0" collapsed="false">
      <c r="A65" s="4" t="n">
        <v>61</v>
      </c>
      <c r="B65" s="4" t="s">
        <v>186</v>
      </c>
      <c r="C65" s="4" t="s">
        <v>33</v>
      </c>
      <c r="D65" s="5" t="s">
        <v>184</v>
      </c>
      <c r="E65" s="4" t="s">
        <v>49</v>
      </c>
    </row>
    <row r="66" customFormat="false" ht="15" hidden="false" customHeight="false" outlineLevel="0" collapsed="false">
      <c r="A66" s="4" t="n">
        <v>62</v>
      </c>
      <c r="B66" s="4" t="s">
        <v>187</v>
      </c>
      <c r="C66" s="4" t="s">
        <v>33</v>
      </c>
      <c r="D66" s="5" t="s">
        <v>184</v>
      </c>
      <c r="E66" s="4" t="s">
        <v>49</v>
      </c>
    </row>
    <row r="67" customFormat="false" ht="15" hidden="false" customHeight="false" outlineLevel="0" collapsed="false">
      <c r="A67" s="4" t="n">
        <v>63</v>
      </c>
      <c r="B67" s="4" t="s">
        <v>188</v>
      </c>
      <c r="C67" s="4" t="s">
        <v>33</v>
      </c>
      <c r="D67" s="5" t="s">
        <v>184</v>
      </c>
      <c r="E67" s="4" t="s">
        <v>49</v>
      </c>
    </row>
    <row r="68" customFormat="false" ht="15" hidden="false" customHeight="false" outlineLevel="0" collapsed="false">
      <c r="A68" s="4" t="n">
        <v>64</v>
      </c>
      <c r="B68" s="4" t="s">
        <v>189</v>
      </c>
      <c r="C68" s="4" t="s">
        <v>190</v>
      </c>
      <c r="D68" s="5" t="s">
        <v>191</v>
      </c>
      <c r="E68" s="4" t="s">
        <v>192</v>
      </c>
    </row>
    <row r="69" customFormat="false" ht="15" hidden="false" customHeight="false" outlineLevel="0" collapsed="false">
      <c r="A69" s="4" t="n">
        <v>65</v>
      </c>
      <c r="B69" s="4" t="s">
        <v>193</v>
      </c>
      <c r="C69" s="4" t="s">
        <v>40</v>
      </c>
      <c r="D69" s="4" t="s">
        <v>194</v>
      </c>
      <c r="E69" s="4" t="s">
        <v>195</v>
      </c>
    </row>
    <row r="70" customFormat="false" ht="15" hidden="false" customHeight="false" outlineLevel="0" collapsed="false">
      <c r="A70" s="4" t="n">
        <v>66</v>
      </c>
      <c r="B70" s="4" t="s">
        <v>196</v>
      </c>
      <c r="C70" s="4" t="s">
        <v>40</v>
      </c>
      <c r="D70" s="4" t="s">
        <v>194</v>
      </c>
      <c r="E70" s="4" t="s">
        <v>49</v>
      </c>
    </row>
    <row r="71" customFormat="false" ht="15" hidden="false" customHeight="false" outlineLevel="0" collapsed="false">
      <c r="A71" s="4" t="n">
        <v>67</v>
      </c>
      <c r="B71" s="4" t="s">
        <v>197</v>
      </c>
      <c r="C71" s="4" t="s">
        <v>198</v>
      </c>
      <c r="D71" s="4" t="s">
        <v>194</v>
      </c>
      <c r="E71" s="4" t="s">
        <v>199</v>
      </c>
    </row>
    <row r="72" customFormat="false" ht="15" hidden="false" customHeight="false" outlineLevel="0" collapsed="false">
      <c r="A72" s="4" t="n">
        <v>68</v>
      </c>
      <c r="B72" s="4" t="s">
        <v>200</v>
      </c>
      <c r="C72" s="4" t="s">
        <v>40</v>
      </c>
      <c r="D72" s="4" t="s">
        <v>194</v>
      </c>
      <c r="E72" s="4" t="s">
        <v>49</v>
      </c>
    </row>
    <row r="73" customFormat="false" ht="15" hidden="false" customHeight="false" outlineLevel="0" collapsed="false">
      <c r="A73" s="4" t="n">
        <v>69</v>
      </c>
      <c r="B73" s="4" t="s">
        <v>201</v>
      </c>
      <c r="C73" s="4" t="s">
        <v>33</v>
      </c>
      <c r="D73" s="5" t="s">
        <v>202</v>
      </c>
      <c r="E73" s="4" t="s">
        <v>203</v>
      </c>
    </row>
    <row r="75" customFormat="false" ht="15" hidden="false" customHeight="false" outlineLevel="0" collapsed="false">
      <c r="A75" s="8" t="s">
        <v>204</v>
      </c>
    </row>
    <row r="76" customFormat="false" ht="15" hidden="false" customHeight="false" outlineLevel="0" collapsed="false">
      <c r="B76" s="9" t="s">
        <v>86</v>
      </c>
      <c r="C76" s="10" t="n">
        <f aca="false">COUNTIF($C$5:$C$73,"残す*")</f>
        <v>10</v>
      </c>
    </row>
    <row r="77" customFormat="false" ht="15" hidden="false" customHeight="false" outlineLevel="0" collapsed="false">
      <c r="B77" s="9" t="s">
        <v>33</v>
      </c>
      <c r="C77" s="10" t="n">
        <f aca="false">COUNTIF($C$5:$C$73,"統合*")</f>
        <v>37</v>
      </c>
    </row>
    <row r="78" customFormat="false" ht="15" hidden="false" customHeight="false" outlineLevel="0" collapsed="false">
      <c r="B78" s="9" t="s">
        <v>40</v>
      </c>
      <c r="C78" s="10" t="n">
        <f aca="false">COUNTIF($C$5:$C$73,"移動*")</f>
        <v>14</v>
      </c>
    </row>
    <row r="79" customFormat="false" ht="15" hidden="false" customHeight="false" outlineLevel="0" collapsed="false">
      <c r="B79" s="9" t="s">
        <v>69</v>
      </c>
      <c r="C79" s="10" t="n">
        <f aca="false">COUNTIF($C$5:$C$73,"変更*")</f>
        <v>4</v>
      </c>
    </row>
    <row r="80" customFormat="false" ht="15" hidden="false" customHeight="false" outlineLevel="0" collapsed="false">
      <c r="B80" s="9" t="s">
        <v>120</v>
      </c>
      <c r="C80" s="10" t="n">
        <f aca="false">COUNTIF($C$5:$C$73,"削除*")</f>
        <v>4</v>
      </c>
    </row>
    <row r="81" customFormat="false" ht="15" hidden="false" customHeight="false" outlineLevel="0" collapsed="false">
      <c r="B81" s="11" t="s">
        <v>205</v>
      </c>
      <c r="C81" s="11" t="n">
        <f aca="false">SUM(C76:C80)</f>
        <v>69</v>
      </c>
    </row>
    <row r="83" customFormat="false" ht="15" hidden="false" customHeight="false" outlineLevel="0" collapsed="false">
      <c r="A83" s="8" t="s">
        <v>206</v>
      </c>
    </row>
    <row r="84" customFormat="false" ht="15" hidden="false" customHeight="false" outlineLevel="0" collapsed="false">
      <c r="B84" s="12" t="s">
        <v>26</v>
      </c>
      <c r="C84" s="12" t="s">
        <v>3</v>
      </c>
      <c r="D84" s="12" t="s">
        <v>207</v>
      </c>
    </row>
    <row r="85" customFormat="false" ht="15" hidden="false" customHeight="false" outlineLevel="0" collapsed="false">
      <c r="B85" s="13" t="s">
        <v>208</v>
      </c>
      <c r="C85" s="14" t="s">
        <v>209</v>
      </c>
      <c r="D85" s="14" t="s">
        <v>210</v>
      </c>
    </row>
    <row r="86" customFormat="false" ht="15" hidden="false" customHeight="false" outlineLevel="0" collapsed="false">
      <c r="B86" s="13" t="s">
        <v>211</v>
      </c>
      <c r="C86" s="14" t="s">
        <v>212</v>
      </c>
      <c r="D86" s="14" t="s">
        <v>213</v>
      </c>
    </row>
    <row r="87" customFormat="false" ht="26.85" hidden="false" customHeight="false" outlineLevel="0" collapsed="false">
      <c r="B87" s="13" t="s">
        <v>214</v>
      </c>
      <c r="C87" s="13" t="s">
        <v>215</v>
      </c>
      <c r="D87" s="14" t="s">
        <v>216</v>
      </c>
    </row>
    <row r="88" customFormat="false" ht="26.85" hidden="false" customHeight="false" outlineLevel="0" collapsed="false">
      <c r="B88" s="13" t="s">
        <v>217</v>
      </c>
      <c r="C88" s="14" t="s">
        <v>218</v>
      </c>
      <c r="D88" s="13" t="s">
        <v>219</v>
      </c>
    </row>
    <row r="89" customFormat="false" ht="26.85" hidden="false" customHeight="false" outlineLevel="0" collapsed="false">
      <c r="B89" s="13" t="s">
        <v>220</v>
      </c>
      <c r="C89" s="14" t="s">
        <v>221</v>
      </c>
      <c r="D89" s="14" t="s">
        <v>222</v>
      </c>
    </row>
    <row r="90" customFormat="false" ht="26.85" hidden="false" customHeight="false" outlineLevel="0" collapsed="false">
      <c r="B90" s="13" t="s">
        <v>223</v>
      </c>
      <c r="C90" s="14" t="s">
        <v>224</v>
      </c>
      <c r="D90" s="14" t="s">
        <v>225</v>
      </c>
    </row>
    <row r="91" customFormat="false" ht="26.85" hidden="false" customHeight="false" outlineLevel="0" collapsed="false">
      <c r="B91" s="13" t="s">
        <v>226</v>
      </c>
      <c r="C91" s="14" t="s">
        <v>227</v>
      </c>
      <c r="D91" s="14" t="s">
        <v>228</v>
      </c>
    </row>
    <row r="92" customFormat="false" ht="15" hidden="false" customHeight="false" outlineLevel="0" collapsed="false">
      <c r="B92" s="13" t="s">
        <v>229</v>
      </c>
      <c r="C92" s="14" t="s">
        <v>230</v>
      </c>
      <c r="D92" s="14" t="s">
        <v>231</v>
      </c>
    </row>
    <row r="93" customFormat="false" ht="26.85" hidden="false" customHeight="false" outlineLevel="0" collapsed="false">
      <c r="B93" s="13" t="s">
        <v>232</v>
      </c>
      <c r="C93" s="14" t="s">
        <v>233</v>
      </c>
      <c r="D93" s="14" t="s">
        <v>234</v>
      </c>
    </row>
    <row r="94" customFormat="false" ht="26.85" hidden="false" customHeight="false" outlineLevel="0" collapsed="false">
      <c r="B94" s="13" t="s">
        <v>202</v>
      </c>
      <c r="C94" s="14" t="s">
        <v>235</v>
      </c>
      <c r="D94" s="14" t="s">
        <v>236</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Q5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6"/>
    <col collapsed="false" customWidth="true" hidden="false" outlineLevel="0" max="2" min="2" style="0" width="12"/>
    <col collapsed="false" customWidth="true" hidden="false" outlineLevel="0" max="3" min="3" style="0" width="7"/>
    <col collapsed="false" customWidth="true" hidden="false" outlineLevel="0" max="4" min="4" style="0" width="8"/>
    <col collapsed="false" customWidth="true" hidden="false" outlineLevel="0" max="5" min="5" style="0" width="7"/>
    <col collapsed="false" customWidth="true" hidden="false" outlineLevel="0" max="6" min="6" style="0" width="11"/>
    <col collapsed="false" customWidth="true" hidden="false" outlineLevel="0" max="7" min="7" style="0" width="30"/>
    <col collapsed="false" customWidth="true" hidden="false" outlineLevel="0" max="8" min="8" style="0" width="48"/>
    <col collapsed="false" customWidth="true" hidden="false" outlineLevel="0" max="9" min="9" style="0" width="30"/>
    <col collapsed="false" customWidth="true" hidden="false" outlineLevel="0" max="10" min="10" style="0" width="34"/>
    <col collapsed="false" customWidth="true" hidden="false" outlineLevel="0" max="11" min="11" style="0" width="38"/>
    <col collapsed="false" customWidth="true" hidden="false" outlineLevel="0" max="13" min="12" style="0" width="30"/>
    <col collapsed="false" customWidth="true" hidden="false" outlineLevel="0" max="14" min="14" style="0" width="26"/>
    <col collapsed="false" customWidth="true" hidden="false" outlineLevel="0" max="15" min="15" style="0" width="30"/>
    <col collapsed="false" customWidth="true" hidden="false" outlineLevel="0" max="17" min="16" style="0" width="16"/>
  </cols>
  <sheetData>
    <row r="1" customFormat="false" ht="19.7" hidden="false" customHeight="false" outlineLevel="0" collapsed="false">
      <c r="A1" s="1" t="s">
        <v>237</v>
      </c>
    </row>
    <row r="2" customFormat="false" ht="15" hidden="false" customHeight="false" outlineLevel="0" collapsed="false">
      <c r="A2" s="2" t="s">
        <v>238</v>
      </c>
    </row>
    <row r="3" customFormat="false" ht="15" hidden="false" customHeight="false" outlineLevel="0" collapsed="false">
      <c r="A3" s="15" t="s">
        <v>239</v>
      </c>
    </row>
    <row r="4" customFormat="false" ht="15" hidden="false" customHeight="false" outlineLevel="0" collapsed="false">
      <c r="A4" s="16" t="s">
        <v>240</v>
      </c>
      <c r="B4" s="3" t="s">
        <v>241</v>
      </c>
      <c r="C4" s="3" t="s">
        <v>242</v>
      </c>
      <c r="D4" s="7" t="s">
        <v>243</v>
      </c>
      <c r="E4" s="3" t="s">
        <v>244</v>
      </c>
      <c r="F4" s="3" t="s">
        <v>245</v>
      </c>
      <c r="G4" s="3" t="s">
        <v>246</v>
      </c>
      <c r="H4" s="3" t="s">
        <v>247</v>
      </c>
      <c r="I4" s="3" t="s">
        <v>248</v>
      </c>
      <c r="J4" s="3" t="s">
        <v>249</v>
      </c>
      <c r="K4" s="3" t="s">
        <v>250</v>
      </c>
      <c r="L4" s="3" t="s">
        <v>251</v>
      </c>
      <c r="M4" s="3" t="s">
        <v>252</v>
      </c>
      <c r="N4" s="3" t="s">
        <v>253</v>
      </c>
      <c r="O4" s="3" t="s">
        <v>254</v>
      </c>
      <c r="P4" s="3" t="s">
        <v>24</v>
      </c>
      <c r="Q4" s="3" t="s">
        <v>255</v>
      </c>
    </row>
    <row r="5" customFormat="false" ht="39.55" hidden="false" customHeight="false" outlineLevel="0" collapsed="false">
      <c r="A5" s="5" t="s">
        <v>256</v>
      </c>
      <c r="B5" s="5" t="s">
        <v>257</v>
      </c>
      <c r="C5" s="17" t="n">
        <f aca="false">0</f>
        <v>0</v>
      </c>
      <c r="D5" s="18" t="n">
        <v>0.5</v>
      </c>
      <c r="E5" s="17" t="n">
        <f aca="false">C5+D5</f>
        <v>0.5</v>
      </c>
      <c r="F5" s="4" t="s">
        <v>258</v>
      </c>
      <c r="G5" s="4" t="s">
        <v>259</v>
      </c>
      <c r="H5" s="4" t="s">
        <v>260</v>
      </c>
      <c r="I5" s="4"/>
      <c r="J5" s="4"/>
      <c r="K5" s="4"/>
      <c r="L5" s="4"/>
      <c r="M5" s="5" t="s">
        <v>261</v>
      </c>
      <c r="N5" s="4" t="s">
        <v>262</v>
      </c>
      <c r="O5" s="4" t="s">
        <v>263</v>
      </c>
      <c r="P5" s="4" t="s">
        <v>264</v>
      </c>
      <c r="Q5" s="19"/>
    </row>
    <row r="6" customFormat="false" ht="26.85" hidden="false" customHeight="false" outlineLevel="0" collapsed="false">
      <c r="A6" s="5" t="s">
        <v>208</v>
      </c>
      <c r="B6" s="5" t="s">
        <v>257</v>
      </c>
      <c r="C6" s="17" t="n">
        <f aca="false">E5</f>
        <v>0.5</v>
      </c>
      <c r="D6" s="18" t="n">
        <v>1</v>
      </c>
      <c r="E6" s="17" t="n">
        <f aca="false">C6+D6</f>
        <v>1.5</v>
      </c>
      <c r="F6" s="4" t="s">
        <v>265</v>
      </c>
      <c r="G6" s="4" t="s">
        <v>266</v>
      </c>
      <c r="H6" s="4" t="s">
        <v>267</v>
      </c>
      <c r="I6" s="4" t="s">
        <v>268</v>
      </c>
      <c r="J6" s="4" t="s">
        <v>269</v>
      </c>
      <c r="K6" s="4" t="s">
        <v>270</v>
      </c>
      <c r="L6" s="4"/>
      <c r="M6" s="5" t="s">
        <v>271</v>
      </c>
      <c r="N6" s="4" t="s">
        <v>272</v>
      </c>
      <c r="O6" s="4" t="s">
        <v>273</v>
      </c>
      <c r="P6" s="4" t="s">
        <v>274</v>
      </c>
      <c r="Q6" s="19"/>
    </row>
    <row r="7" customFormat="false" ht="39.55" hidden="false" customHeight="false" outlineLevel="0" collapsed="false">
      <c r="A7" s="5" t="s">
        <v>275</v>
      </c>
      <c r="B7" s="5" t="s">
        <v>257</v>
      </c>
      <c r="C7" s="17" t="n">
        <f aca="false">E6</f>
        <v>1.5</v>
      </c>
      <c r="D7" s="18" t="n">
        <v>1</v>
      </c>
      <c r="E7" s="17" t="n">
        <f aca="false">C7+D7</f>
        <v>2.5</v>
      </c>
      <c r="F7" s="4" t="s">
        <v>258</v>
      </c>
      <c r="G7" s="5" t="s">
        <v>276</v>
      </c>
      <c r="H7" s="4" t="s">
        <v>277</v>
      </c>
      <c r="I7" s="4"/>
      <c r="J7" s="4"/>
      <c r="K7" s="4"/>
      <c r="L7" s="4"/>
      <c r="M7" s="4"/>
      <c r="N7" s="4" t="s">
        <v>278</v>
      </c>
      <c r="O7" s="5" t="s">
        <v>279</v>
      </c>
      <c r="P7" s="4" t="s">
        <v>280</v>
      </c>
      <c r="Q7" s="19"/>
    </row>
    <row r="8" customFormat="false" ht="26.85" hidden="false" customHeight="false" outlineLevel="0" collapsed="false">
      <c r="A8" s="5" t="s">
        <v>34</v>
      </c>
      <c r="B8" s="5" t="s">
        <v>257</v>
      </c>
      <c r="C8" s="17" t="n">
        <f aca="false">E7</f>
        <v>2.5</v>
      </c>
      <c r="D8" s="18" t="n">
        <v>2.5</v>
      </c>
      <c r="E8" s="17" t="n">
        <f aca="false">C8+D8</f>
        <v>5</v>
      </c>
      <c r="F8" s="4" t="s">
        <v>281</v>
      </c>
      <c r="G8" s="4" t="s">
        <v>282</v>
      </c>
      <c r="H8" s="4" t="s">
        <v>283</v>
      </c>
      <c r="I8" s="4" t="s">
        <v>284</v>
      </c>
      <c r="J8" s="4" t="s">
        <v>285</v>
      </c>
      <c r="K8" s="4" t="s">
        <v>286</v>
      </c>
      <c r="L8" s="4" t="s">
        <v>287</v>
      </c>
      <c r="M8" s="5" t="s">
        <v>288</v>
      </c>
      <c r="N8" s="4" t="s">
        <v>289</v>
      </c>
      <c r="O8" s="4" t="s">
        <v>290</v>
      </c>
      <c r="P8" s="4" t="s">
        <v>291</v>
      </c>
      <c r="Q8" s="19"/>
    </row>
    <row r="9" customFormat="false" ht="26.85" hidden="false" customHeight="false" outlineLevel="0" collapsed="false">
      <c r="A9" s="5" t="s">
        <v>292</v>
      </c>
      <c r="B9" s="5" t="s">
        <v>293</v>
      </c>
      <c r="C9" s="17" t="n">
        <f aca="false">E8</f>
        <v>5</v>
      </c>
      <c r="D9" s="18" t="n">
        <v>0.25</v>
      </c>
      <c r="E9" s="17" t="n">
        <f aca="false">C9+D9</f>
        <v>5.25</v>
      </c>
      <c r="F9" s="4" t="s">
        <v>258</v>
      </c>
      <c r="G9" s="4" t="s">
        <v>212</v>
      </c>
      <c r="H9" s="4" t="s">
        <v>294</v>
      </c>
      <c r="I9" s="4"/>
      <c r="J9" s="4"/>
      <c r="K9" s="4"/>
      <c r="L9" s="4"/>
      <c r="M9" s="4"/>
      <c r="N9" s="4" t="s">
        <v>295</v>
      </c>
      <c r="O9" s="4" t="s">
        <v>296</v>
      </c>
      <c r="P9" s="4" t="s">
        <v>274</v>
      </c>
      <c r="Q9" s="19"/>
    </row>
    <row r="10" customFormat="false" ht="39.55" hidden="false" customHeight="false" outlineLevel="0" collapsed="false">
      <c r="A10" s="5" t="s">
        <v>37</v>
      </c>
      <c r="B10" s="5" t="s">
        <v>293</v>
      </c>
      <c r="C10" s="17" t="n">
        <f aca="false">E9</f>
        <v>5.25</v>
      </c>
      <c r="D10" s="18" t="n">
        <v>2</v>
      </c>
      <c r="E10" s="17" t="n">
        <f aca="false">C10+D10</f>
        <v>7.25</v>
      </c>
      <c r="F10" s="4" t="s">
        <v>297</v>
      </c>
      <c r="G10" s="4" t="s">
        <v>298</v>
      </c>
      <c r="H10" s="5" t="s">
        <v>299</v>
      </c>
      <c r="I10" s="4" t="s">
        <v>300</v>
      </c>
      <c r="J10" s="5" t="s">
        <v>301</v>
      </c>
      <c r="K10" s="4" t="s">
        <v>302</v>
      </c>
      <c r="L10" s="4" t="s">
        <v>303</v>
      </c>
      <c r="M10" s="4"/>
      <c r="N10" s="4" t="s">
        <v>304</v>
      </c>
      <c r="O10" s="4" t="s">
        <v>305</v>
      </c>
      <c r="P10" s="4" t="s">
        <v>306</v>
      </c>
      <c r="Q10" s="19"/>
    </row>
    <row r="11" customFormat="false" ht="39.55" hidden="false" customHeight="false" outlineLevel="0" collapsed="false">
      <c r="A11" s="5" t="s">
        <v>44</v>
      </c>
      <c r="B11" s="5" t="s">
        <v>293</v>
      </c>
      <c r="C11" s="17" t="n">
        <f aca="false">E10</f>
        <v>7.25</v>
      </c>
      <c r="D11" s="18" t="n">
        <v>1.5</v>
      </c>
      <c r="E11" s="17" t="n">
        <f aca="false">C11+D11</f>
        <v>8.75</v>
      </c>
      <c r="F11" s="4" t="s">
        <v>258</v>
      </c>
      <c r="G11" s="5" t="s">
        <v>307</v>
      </c>
      <c r="H11" s="5" t="s">
        <v>308</v>
      </c>
      <c r="I11" s="4" t="s">
        <v>309</v>
      </c>
      <c r="J11" s="4" t="s">
        <v>310</v>
      </c>
      <c r="K11" s="4" t="s">
        <v>311</v>
      </c>
      <c r="L11" s="4"/>
      <c r="M11" s="4"/>
      <c r="N11" s="4" t="s">
        <v>312</v>
      </c>
      <c r="O11" s="4" t="s">
        <v>313</v>
      </c>
      <c r="P11" s="4" t="s">
        <v>314</v>
      </c>
      <c r="Q11" s="19"/>
    </row>
    <row r="12" customFormat="false" ht="26.85" hidden="false" customHeight="false" outlineLevel="0" collapsed="false">
      <c r="A12" s="5" t="s">
        <v>51</v>
      </c>
      <c r="B12" s="5" t="s">
        <v>293</v>
      </c>
      <c r="C12" s="17" t="n">
        <f aca="false">E11</f>
        <v>8.75</v>
      </c>
      <c r="D12" s="18" t="n">
        <v>1.5</v>
      </c>
      <c r="E12" s="17" t="n">
        <f aca="false">C12+D12</f>
        <v>10.25</v>
      </c>
      <c r="F12" s="4" t="s">
        <v>258</v>
      </c>
      <c r="G12" s="4" t="s">
        <v>315</v>
      </c>
      <c r="H12" s="5" t="s">
        <v>316</v>
      </c>
      <c r="I12" s="4" t="s">
        <v>317</v>
      </c>
      <c r="J12" s="4" t="s">
        <v>318</v>
      </c>
      <c r="K12" s="4" t="s">
        <v>319</v>
      </c>
      <c r="L12" s="4" t="s">
        <v>320</v>
      </c>
      <c r="M12" s="4"/>
      <c r="N12" s="4" t="s">
        <v>321</v>
      </c>
      <c r="O12" s="4" t="s">
        <v>322</v>
      </c>
      <c r="P12" s="4" t="s">
        <v>323</v>
      </c>
      <c r="Q12" s="19"/>
    </row>
    <row r="13" customFormat="false" ht="39.55" hidden="false" customHeight="false" outlineLevel="0" collapsed="false">
      <c r="A13" s="5" t="s">
        <v>324</v>
      </c>
      <c r="B13" s="5" t="s">
        <v>293</v>
      </c>
      <c r="C13" s="17" t="n">
        <f aca="false">E12</f>
        <v>10.25</v>
      </c>
      <c r="D13" s="18" t="n">
        <v>1</v>
      </c>
      <c r="E13" s="17" t="n">
        <f aca="false">C13+D13</f>
        <v>11.25</v>
      </c>
      <c r="F13" s="4" t="s">
        <v>258</v>
      </c>
      <c r="G13" s="5" t="s">
        <v>325</v>
      </c>
      <c r="H13" s="4" t="s">
        <v>326</v>
      </c>
      <c r="I13" s="4"/>
      <c r="J13" s="4"/>
      <c r="K13" s="4"/>
      <c r="L13" s="4"/>
      <c r="M13" s="5" t="s">
        <v>327</v>
      </c>
      <c r="N13" s="4" t="s">
        <v>328</v>
      </c>
      <c r="O13" s="4" t="s">
        <v>329</v>
      </c>
      <c r="P13" s="4" t="s">
        <v>330</v>
      </c>
      <c r="Q13" s="19"/>
    </row>
    <row r="14" customFormat="false" ht="39.55" hidden="false" customHeight="false" outlineLevel="0" collapsed="false">
      <c r="A14" s="5" t="s">
        <v>54</v>
      </c>
      <c r="B14" s="5" t="s">
        <v>293</v>
      </c>
      <c r="C14" s="17" t="n">
        <f aca="false">E13</f>
        <v>11.25</v>
      </c>
      <c r="D14" s="18" t="n">
        <v>1.5</v>
      </c>
      <c r="E14" s="17" t="n">
        <f aca="false">C14+D14</f>
        <v>12.75</v>
      </c>
      <c r="F14" s="4" t="s">
        <v>297</v>
      </c>
      <c r="G14" s="4" t="s">
        <v>298</v>
      </c>
      <c r="H14" s="4" t="s">
        <v>331</v>
      </c>
      <c r="I14" s="4" t="s">
        <v>332</v>
      </c>
      <c r="J14" s="5" t="s">
        <v>333</v>
      </c>
      <c r="K14" s="5" t="s">
        <v>334</v>
      </c>
      <c r="L14" s="4" t="s">
        <v>335</v>
      </c>
      <c r="M14" s="4"/>
      <c r="N14" s="4" t="s">
        <v>336</v>
      </c>
      <c r="O14" s="4" t="s">
        <v>337</v>
      </c>
      <c r="P14" s="4" t="s">
        <v>338</v>
      </c>
      <c r="Q14" s="19"/>
    </row>
    <row r="15" customFormat="false" ht="39.55" hidden="false" customHeight="false" outlineLevel="0" collapsed="false">
      <c r="A15" s="5" t="s">
        <v>59</v>
      </c>
      <c r="B15" s="5" t="s">
        <v>293</v>
      </c>
      <c r="C15" s="17" t="n">
        <f aca="false">E14</f>
        <v>12.75</v>
      </c>
      <c r="D15" s="18" t="n">
        <v>1</v>
      </c>
      <c r="E15" s="17" t="n">
        <f aca="false">C15+D15</f>
        <v>13.75</v>
      </c>
      <c r="F15" s="4" t="s">
        <v>258</v>
      </c>
      <c r="G15" s="5" t="s">
        <v>339</v>
      </c>
      <c r="H15" s="4" t="s">
        <v>340</v>
      </c>
      <c r="I15" s="4"/>
      <c r="J15" s="4"/>
      <c r="K15" s="4"/>
      <c r="L15" s="4"/>
      <c r="M15" s="4"/>
      <c r="N15" s="4" t="s">
        <v>341</v>
      </c>
      <c r="O15" s="5" t="s">
        <v>342</v>
      </c>
      <c r="P15" s="4" t="s">
        <v>343</v>
      </c>
      <c r="Q15" s="19"/>
    </row>
    <row r="16" customFormat="false" ht="26.85" hidden="false" customHeight="false" outlineLevel="0" collapsed="false">
      <c r="A16" s="5" t="s">
        <v>214</v>
      </c>
      <c r="B16" s="5" t="s">
        <v>293</v>
      </c>
      <c r="C16" s="17" t="n">
        <f aca="false">E15</f>
        <v>13.75</v>
      </c>
      <c r="D16" s="18" t="n">
        <v>1.25</v>
      </c>
      <c r="E16" s="17" t="n">
        <f aca="false">C16+D16</f>
        <v>15</v>
      </c>
      <c r="F16" s="4" t="s">
        <v>258</v>
      </c>
      <c r="G16" s="4" t="s">
        <v>344</v>
      </c>
      <c r="H16" s="4" t="s">
        <v>345</v>
      </c>
      <c r="I16" s="4"/>
      <c r="J16" s="4"/>
      <c r="K16" s="4"/>
      <c r="L16" s="4"/>
      <c r="M16" s="5" t="s">
        <v>261</v>
      </c>
      <c r="N16" s="5" t="s">
        <v>346</v>
      </c>
      <c r="O16" s="4" t="s">
        <v>347</v>
      </c>
      <c r="P16" s="4" t="s">
        <v>348</v>
      </c>
      <c r="Q16" s="19"/>
    </row>
    <row r="17" customFormat="false" ht="15" hidden="false" customHeight="false" outlineLevel="0" collapsed="false">
      <c r="A17" s="5" t="s">
        <v>349</v>
      </c>
      <c r="B17" s="5" t="s">
        <v>350</v>
      </c>
      <c r="C17" s="17" t="n">
        <f aca="false">E16</f>
        <v>15</v>
      </c>
      <c r="D17" s="18" t="n">
        <v>0.25</v>
      </c>
      <c r="E17" s="17" t="n">
        <f aca="false">C17+D17</f>
        <v>15.25</v>
      </c>
      <c r="F17" s="4" t="s">
        <v>258</v>
      </c>
      <c r="G17" s="4" t="s">
        <v>212</v>
      </c>
      <c r="H17" s="4" t="s">
        <v>351</v>
      </c>
      <c r="I17" s="4"/>
      <c r="J17" s="4"/>
      <c r="K17" s="4"/>
      <c r="L17" s="4"/>
      <c r="M17" s="4"/>
      <c r="N17" s="4" t="s">
        <v>352</v>
      </c>
      <c r="O17" s="4"/>
      <c r="P17" s="4" t="s">
        <v>274</v>
      </c>
      <c r="Q17" s="19"/>
    </row>
    <row r="18" customFormat="false" ht="26.85" hidden="false" customHeight="false" outlineLevel="0" collapsed="false">
      <c r="A18" s="5" t="s">
        <v>353</v>
      </c>
      <c r="B18" s="5" t="s">
        <v>350</v>
      </c>
      <c r="C18" s="17" t="n">
        <f aca="false">E17</f>
        <v>15.25</v>
      </c>
      <c r="D18" s="18" t="n">
        <v>1.25</v>
      </c>
      <c r="E18" s="17" t="n">
        <f aca="false">C18+D18</f>
        <v>16.5</v>
      </c>
      <c r="F18" s="4" t="s">
        <v>281</v>
      </c>
      <c r="G18" s="4" t="s">
        <v>354</v>
      </c>
      <c r="H18" s="4" t="s">
        <v>355</v>
      </c>
      <c r="I18" s="4" t="s">
        <v>356</v>
      </c>
      <c r="J18" s="4" t="s">
        <v>357</v>
      </c>
      <c r="K18" s="4" t="s">
        <v>358</v>
      </c>
      <c r="L18" s="4" t="s">
        <v>359</v>
      </c>
      <c r="M18" s="5" t="s">
        <v>360</v>
      </c>
      <c r="N18" s="4" t="s">
        <v>361</v>
      </c>
      <c r="O18" s="4" t="s">
        <v>362</v>
      </c>
      <c r="P18" s="4" t="s">
        <v>363</v>
      </c>
      <c r="Q18" s="19"/>
    </row>
    <row r="19" customFormat="false" ht="39.55" hidden="false" customHeight="false" outlineLevel="0" collapsed="false">
      <c r="A19" s="5" t="s">
        <v>217</v>
      </c>
      <c r="B19" s="5" t="s">
        <v>350</v>
      </c>
      <c r="C19" s="17" t="n">
        <f aca="false">E18</f>
        <v>16.5</v>
      </c>
      <c r="D19" s="18" t="n">
        <v>1.25</v>
      </c>
      <c r="E19" s="17" t="n">
        <f aca="false">C19+D19</f>
        <v>17.75</v>
      </c>
      <c r="F19" s="4" t="s">
        <v>258</v>
      </c>
      <c r="G19" s="4" t="s">
        <v>364</v>
      </c>
      <c r="H19" s="4" t="s">
        <v>365</v>
      </c>
      <c r="I19" s="4"/>
      <c r="J19" s="4"/>
      <c r="K19" s="4"/>
      <c r="L19" s="4"/>
      <c r="M19" s="4"/>
      <c r="N19" s="4" t="s">
        <v>366</v>
      </c>
      <c r="O19" s="4" t="s">
        <v>367</v>
      </c>
      <c r="P19" s="4" t="s">
        <v>368</v>
      </c>
      <c r="Q19" s="19"/>
    </row>
    <row r="20" customFormat="false" ht="39.55" hidden="false" customHeight="false" outlineLevel="0" collapsed="false">
      <c r="A20" s="5" t="s">
        <v>70</v>
      </c>
      <c r="B20" s="5" t="s">
        <v>350</v>
      </c>
      <c r="C20" s="17" t="n">
        <f aca="false">E19</f>
        <v>17.75</v>
      </c>
      <c r="D20" s="18" t="n">
        <v>2.5</v>
      </c>
      <c r="E20" s="17" t="n">
        <f aca="false">C20+D20</f>
        <v>20.25</v>
      </c>
      <c r="F20" s="4" t="s">
        <v>369</v>
      </c>
      <c r="G20" s="4" t="s">
        <v>370</v>
      </c>
      <c r="H20" s="4" t="s">
        <v>371</v>
      </c>
      <c r="I20" s="5" t="s">
        <v>372</v>
      </c>
      <c r="J20" s="4" t="s">
        <v>373</v>
      </c>
      <c r="K20" s="4" t="s">
        <v>374</v>
      </c>
      <c r="L20" s="4" t="s">
        <v>375</v>
      </c>
      <c r="M20" s="4"/>
      <c r="N20" s="4" t="s">
        <v>376</v>
      </c>
      <c r="O20" s="4" t="s">
        <v>377</v>
      </c>
      <c r="P20" s="4" t="s">
        <v>378</v>
      </c>
      <c r="Q20" s="19"/>
    </row>
    <row r="21" customFormat="false" ht="52.2" hidden="false" customHeight="false" outlineLevel="0" collapsed="false">
      <c r="A21" s="5" t="s">
        <v>379</v>
      </c>
      <c r="B21" s="5" t="s">
        <v>350</v>
      </c>
      <c r="C21" s="17" t="n">
        <f aca="false">E20</f>
        <v>20.25</v>
      </c>
      <c r="D21" s="18" t="n">
        <v>1.25</v>
      </c>
      <c r="E21" s="17" t="n">
        <f aca="false">C21+D21</f>
        <v>21.5</v>
      </c>
      <c r="F21" s="4" t="s">
        <v>258</v>
      </c>
      <c r="G21" s="5" t="s">
        <v>380</v>
      </c>
      <c r="H21" s="4" t="s">
        <v>381</v>
      </c>
      <c r="I21" s="4"/>
      <c r="J21" s="4"/>
      <c r="K21" s="4" t="s">
        <v>382</v>
      </c>
      <c r="L21" s="4"/>
      <c r="M21" s="4"/>
      <c r="N21" s="4" t="s">
        <v>383</v>
      </c>
      <c r="O21" s="4" t="s">
        <v>384</v>
      </c>
      <c r="P21" s="4" t="s">
        <v>385</v>
      </c>
      <c r="Q21" s="19"/>
    </row>
    <row r="22" customFormat="false" ht="39.55" hidden="false" customHeight="false" outlineLevel="0" collapsed="false">
      <c r="A22" s="5" t="s">
        <v>386</v>
      </c>
      <c r="B22" s="5" t="s">
        <v>350</v>
      </c>
      <c r="C22" s="17" t="n">
        <f aca="false">E21</f>
        <v>21.5</v>
      </c>
      <c r="D22" s="18" t="n">
        <v>1.5</v>
      </c>
      <c r="E22" s="17" t="n">
        <f aca="false">C22+D22</f>
        <v>23</v>
      </c>
      <c r="F22" s="4" t="s">
        <v>258</v>
      </c>
      <c r="G22" s="5" t="s">
        <v>387</v>
      </c>
      <c r="H22" s="4" t="s">
        <v>388</v>
      </c>
      <c r="I22" s="4"/>
      <c r="J22" s="4"/>
      <c r="K22" s="4"/>
      <c r="L22" s="4"/>
      <c r="M22" s="4"/>
      <c r="N22" s="4" t="s">
        <v>389</v>
      </c>
      <c r="O22" s="5" t="s">
        <v>390</v>
      </c>
      <c r="P22" s="4" t="s">
        <v>391</v>
      </c>
      <c r="Q22" s="19"/>
    </row>
    <row r="23" customFormat="false" ht="64.9" hidden="false" customHeight="false" outlineLevel="0" collapsed="false">
      <c r="A23" s="5" t="s">
        <v>83</v>
      </c>
      <c r="B23" s="5" t="s">
        <v>350</v>
      </c>
      <c r="C23" s="17" t="n">
        <f aca="false">E22</f>
        <v>23</v>
      </c>
      <c r="D23" s="18" t="n">
        <v>1.25</v>
      </c>
      <c r="E23" s="17" t="n">
        <f aca="false">C23+D23</f>
        <v>24.25</v>
      </c>
      <c r="F23" s="4" t="s">
        <v>258</v>
      </c>
      <c r="G23" s="4" t="s">
        <v>392</v>
      </c>
      <c r="H23" s="4" t="s">
        <v>393</v>
      </c>
      <c r="I23" s="4"/>
      <c r="J23" s="4"/>
      <c r="K23" s="4"/>
      <c r="L23" s="4"/>
      <c r="M23" s="5" t="s">
        <v>394</v>
      </c>
      <c r="N23" s="4" t="s">
        <v>395</v>
      </c>
      <c r="O23" s="4" t="s">
        <v>396</v>
      </c>
      <c r="P23" s="4" t="s">
        <v>397</v>
      </c>
      <c r="Q23" s="19"/>
    </row>
    <row r="24" customFormat="false" ht="26.85" hidden="false" customHeight="false" outlineLevel="0" collapsed="false">
      <c r="A24" s="5" t="s">
        <v>87</v>
      </c>
      <c r="B24" s="5" t="s">
        <v>350</v>
      </c>
      <c r="C24" s="17" t="n">
        <f aca="false">E23</f>
        <v>24.25</v>
      </c>
      <c r="D24" s="18" t="n">
        <v>1.25</v>
      </c>
      <c r="E24" s="17" t="n">
        <f aca="false">C24+D24</f>
        <v>25.5</v>
      </c>
      <c r="F24" s="4" t="s">
        <v>297</v>
      </c>
      <c r="G24" s="4" t="s">
        <v>298</v>
      </c>
      <c r="H24" s="4" t="s">
        <v>398</v>
      </c>
      <c r="I24" s="4" t="s">
        <v>332</v>
      </c>
      <c r="J24" s="5" t="s">
        <v>399</v>
      </c>
      <c r="K24" s="5" t="s">
        <v>400</v>
      </c>
      <c r="L24" s="4" t="s">
        <v>401</v>
      </c>
      <c r="M24" s="4"/>
      <c r="N24" s="4" t="s">
        <v>402</v>
      </c>
      <c r="O24" s="4" t="s">
        <v>403</v>
      </c>
      <c r="P24" s="4" t="s">
        <v>404</v>
      </c>
      <c r="Q24" s="19"/>
    </row>
    <row r="25" customFormat="false" ht="52.2" hidden="false" customHeight="false" outlineLevel="0" collapsed="false">
      <c r="A25" s="5" t="s">
        <v>91</v>
      </c>
      <c r="B25" s="5" t="s">
        <v>350</v>
      </c>
      <c r="C25" s="17" t="n">
        <f aca="false">E24</f>
        <v>25.5</v>
      </c>
      <c r="D25" s="18" t="n">
        <v>1.75</v>
      </c>
      <c r="E25" s="17" t="n">
        <f aca="false">C25+D25</f>
        <v>27.25</v>
      </c>
      <c r="F25" s="4" t="s">
        <v>258</v>
      </c>
      <c r="G25" s="4" t="s">
        <v>405</v>
      </c>
      <c r="H25" s="4" t="s">
        <v>406</v>
      </c>
      <c r="I25" s="5" t="s">
        <v>407</v>
      </c>
      <c r="J25" s="4" t="s">
        <v>408</v>
      </c>
      <c r="K25" s="4" t="s">
        <v>409</v>
      </c>
      <c r="L25" s="4"/>
      <c r="M25" s="4"/>
      <c r="N25" s="4" t="s">
        <v>410</v>
      </c>
      <c r="O25" s="5" t="s">
        <v>411</v>
      </c>
      <c r="P25" s="4" t="s">
        <v>412</v>
      </c>
      <c r="Q25" s="19"/>
    </row>
    <row r="26" customFormat="false" ht="39.55" hidden="false" customHeight="false" outlineLevel="0" collapsed="false">
      <c r="A26" s="5" t="s">
        <v>413</v>
      </c>
      <c r="B26" s="5" t="s">
        <v>350</v>
      </c>
      <c r="C26" s="17" t="n">
        <f aca="false">E25</f>
        <v>27.25</v>
      </c>
      <c r="D26" s="18" t="n">
        <v>2</v>
      </c>
      <c r="E26" s="17" t="n">
        <f aca="false">C26+D26</f>
        <v>29.25</v>
      </c>
      <c r="F26" s="4" t="s">
        <v>414</v>
      </c>
      <c r="G26" s="4" t="s">
        <v>415</v>
      </c>
      <c r="H26" s="4" t="s">
        <v>416</v>
      </c>
      <c r="I26" s="4" t="s">
        <v>417</v>
      </c>
      <c r="J26" s="4" t="s">
        <v>418</v>
      </c>
      <c r="K26" s="4" t="s">
        <v>419</v>
      </c>
      <c r="L26" s="4" t="s">
        <v>420</v>
      </c>
      <c r="M26" s="4"/>
      <c r="N26" s="4" t="s">
        <v>421</v>
      </c>
      <c r="O26" s="4" t="s">
        <v>422</v>
      </c>
      <c r="P26" s="4" t="s">
        <v>274</v>
      </c>
      <c r="Q26" s="19"/>
    </row>
    <row r="27" customFormat="false" ht="39.55" hidden="false" customHeight="false" outlineLevel="0" collapsed="false">
      <c r="A27" s="5" t="s">
        <v>423</v>
      </c>
      <c r="B27" s="5" t="s">
        <v>350</v>
      </c>
      <c r="C27" s="17" t="n">
        <f aca="false">E26</f>
        <v>29.25</v>
      </c>
      <c r="D27" s="18" t="n">
        <v>0.75</v>
      </c>
      <c r="E27" s="17" t="n">
        <f aca="false">C27+D27</f>
        <v>30</v>
      </c>
      <c r="F27" s="4" t="s">
        <v>258</v>
      </c>
      <c r="G27" s="4" t="s">
        <v>424</v>
      </c>
      <c r="H27" s="4" t="s">
        <v>425</v>
      </c>
      <c r="I27" s="4"/>
      <c r="J27" s="4"/>
      <c r="K27" s="4"/>
      <c r="L27" s="4"/>
      <c r="M27" s="4"/>
      <c r="N27" s="4" t="s">
        <v>426</v>
      </c>
      <c r="O27" s="4"/>
      <c r="P27" s="4" t="s">
        <v>427</v>
      </c>
      <c r="Q27" s="19"/>
    </row>
    <row r="28" customFormat="false" ht="26.85" hidden="false" customHeight="false" outlineLevel="0" collapsed="false">
      <c r="A28" s="5" t="s">
        <v>428</v>
      </c>
      <c r="B28" s="5" t="s">
        <v>429</v>
      </c>
      <c r="C28" s="17" t="n">
        <f aca="false">E27</f>
        <v>30</v>
      </c>
      <c r="D28" s="18" t="n">
        <v>0.25</v>
      </c>
      <c r="E28" s="17" t="n">
        <f aca="false">C28+D28</f>
        <v>30.25</v>
      </c>
      <c r="F28" s="4" t="s">
        <v>258</v>
      </c>
      <c r="G28" s="4" t="s">
        <v>212</v>
      </c>
      <c r="H28" s="4" t="s">
        <v>430</v>
      </c>
      <c r="I28" s="4"/>
      <c r="J28" s="4"/>
      <c r="K28" s="4"/>
      <c r="L28" s="4"/>
      <c r="M28" s="4"/>
      <c r="N28" s="4"/>
      <c r="O28" s="4"/>
      <c r="P28" s="4" t="s">
        <v>274</v>
      </c>
      <c r="Q28" s="19"/>
    </row>
    <row r="29" customFormat="false" ht="39.55" hidden="false" customHeight="false" outlineLevel="0" collapsed="false">
      <c r="A29" s="5" t="s">
        <v>102</v>
      </c>
      <c r="B29" s="5" t="s">
        <v>429</v>
      </c>
      <c r="C29" s="17" t="n">
        <f aca="false">E28</f>
        <v>30.25</v>
      </c>
      <c r="D29" s="18" t="n">
        <v>1.5</v>
      </c>
      <c r="E29" s="17" t="n">
        <f aca="false">C29+D29</f>
        <v>31.75</v>
      </c>
      <c r="F29" s="4" t="s">
        <v>265</v>
      </c>
      <c r="G29" s="4" t="s">
        <v>431</v>
      </c>
      <c r="H29" s="4" t="s">
        <v>432</v>
      </c>
      <c r="I29" s="4" t="s">
        <v>433</v>
      </c>
      <c r="J29" s="4" t="s">
        <v>434</v>
      </c>
      <c r="K29" s="4" t="s">
        <v>435</v>
      </c>
      <c r="L29" s="4" t="s">
        <v>436</v>
      </c>
      <c r="M29" s="5" t="s">
        <v>437</v>
      </c>
      <c r="N29" s="4" t="s">
        <v>336</v>
      </c>
      <c r="O29" s="4" t="s">
        <v>438</v>
      </c>
      <c r="P29" s="4" t="s">
        <v>439</v>
      </c>
      <c r="Q29" s="19"/>
    </row>
    <row r="30" customFormat="false" ht="39.55" hidden="false" customHeight="false" outlineLevel="0" collapsed="false">
      <c r="A30" s="5" t="s">
        <v>109</v>
      </c>
      <c r="B30" s="5" t="s">
        <v>429</v>
      </c>
      <c r="C30" s="17" t="n">
        <f aca="false">E29</f>
        <v>31.75</v>
      </c>
      <c r="D30" s="18" t="n">
        <v>1.25</v>
      </c>
      <c r="E30" s="17" t="n">
        <f aca="false">C30+D30</f>
        <v>33</v>
      </c>
      <c r="F30" s="4" t="s">
        <v>258</v>
      </c>
      <c r="G30" s="4" t="s">
        <v>440</v>
      </c>
      <c r="H30" s="4" t="s">
        <v>441</v>
      </c>
      <c r="I30" s="4"/>
      <c r="J30" s="4"/>
      <c r="K30" s="4"/>
      <c r="L30" s="4"/>
      <c r="M30" s="4"/>
      <c r="N30" s="4" t="s">
        <v>442</v>
      </c>
      <c r="O30" s="4" t="s">
        <v>443</v>
      </c>
      <c r="P30" s="4" t="s">
        <v>444</v>
      </c>
      <c r="Q30" s="19"/>
    </row>
    <row r="31" customFormat="false" ht="39.55" hidden="false" customHeight="false" outlineLevel="0" collapsed="false">
      <c r="A31" s="5" t="s">
        <v>115</v>
      </c>
      <c r="B31" s="5" t="s">
        <v>429</v>
      </c>
      <c r="C31" s="17" t="n">
        <f aca="false">E30</f>
        <v>33</v>
      </c>
      <c r="D31" s="18" t="n">
        <v>3</v>
      </c>
      <c r="E31" s="17" t="n">
        <f aca="false">C31+D31</f>
        <v>36</v>
      </c>
      <c r="F31" s="4" t="s">
        <v>445</v>
      </c>
      <c r="G31" s="4" t="s">
        <v>446</v>
      </c>
      <c r="H31" s="4" t="s">
        <v>447</v>
      </c>
      <c r="I31" s="4" t="s">
        <v>448</v>
      </c>
      <c r="J31" s="4" t="s">
        <v>449</v>
      </c>
      <c r="K31" s="4" t="s">
        <v>450</v>
      </c>
      <c r="L31" s="4" t="s">
        <v>451</v>
      </c>
      <c r="M31" s="4"/>
      <c r="N31" s="4" t="s">
        <v>452</v>
      </c>
      <c r="O31" s="4" t="s">
        <v>453</v>
      </c>
      <c r="P31" s="4" t="s">
        <v>454</v>
      </c>
      <c r="Q31" s="19"/>
    </row>
    <row r="32" customFormat="false" ht="52.2" hidden="false" customHeight="false" outlineLevel="0" collapsed="false">
      <c r="A32" s="5" t="s">
        <v>455</v>
      </c>
      <c r="B32" s="5" t="s">
        <v>429</v>
      </c>
      <c r="C32" s="17" t="n">
        <f aca="false">E31</f>
        <v>36</v>
      </c>
      <c r="D32" s="18" t="n">
        <v>1.25</v>
      </c>
      <c r="E32" s="17" t="n">
        <f aca="false">C32+D32</f>
        <v>37.25</v>
      </c>
      <c r="F32" s="4" t="s">
        <v>258</v>
      </c>
      <c r="G32" s="5" t="s">
        <v>456</v>
      </c>
      <c r="H32" s="5" t="s">
        <v>457</v>
      </c>
      <c r="I32" s="5" t="s">
        <v>458</v>
      </c>
      <c r="J32" s="4" t="s">
        <v>459</v>
      </c>
      <c r="K32" s="4" t="s">
        <v>460</v>
      </c>
      <c r="L32" s="4" t="s">
        <v>461</v>
      </c>
      <c r="M32" s="4"/>
      <c r="N32" s="4" t="s">
        <v>462</v>
      </c>
      <c r="O32" s="4"/>
      <c r="P32" s="4" t="s">
        <v>463</v>
      </c>
      <c r="Q32" s="19"/>
    </row>
    <row r="33" customFormat="false" ht="39.55" hidden="false" customHeight="false" outlineLevel="0" collapsed="false">
      <c r="A33" s="5" t="s">
        <v>127</v>
      </c>
      <c r="B33" s="5" t="s">
        <v>429</v>
      </c>
      <c r="C33" s="17" t="n">
        <f aca="false">E32</f>
        <v>37.25</v>
      </c>
      <c r="D33" s="18" t="n">
        <v>1.5</v>
      </c>
      <c r="E33" s="17" t="n">
        <f aca="false">C33+D33</f>
        <v>38.75</v>
      </c>
      <c r="F33" s="4" t="s">
        <v>258</v>
      </c>
      <c r="G33" s="5" t="s">
        <v>464</v>
      </c>
      <c r="H33" s="4" t="s">
        <v>465</v>
      </c>
      <c r="I33" s="4" t="s">
        <v>466</v>
      </c>
      <c r="J33" s="4" t="s">
        <v>467</v>
      </c>
      <c r="K33" s="4" t="s">
        <v>468</v>
      </c>
      <c r="L33" s="4"/>
      <c r="M33" s="4"/>
      <c r="N33" s="4" t="s">
        <v>469</v>
      </c>
      <c r="O33" s="4"/>
      <c r="P33" s="4" t="s">
        <v>470</v>
      </c>
      <c r="Q33" s="19"/>
    </row>
    <row r="34" customFormat="false" ht="52.2" hidden="false" customHeight="false" outlineLevel="0" collapsed="false">
      <c r="A34" s="5" t="s">
        <v>131</v>
      </c>
      <c r="B34" s="5" t="s">
        <v>429</v>
      </c>
      <c r="C34" s="17" t="n">
        <f aca="false">E33</f>
        <v>38.75</v>
      </c>
      <c r="D34" s="18" t="n">
        <v>1.25</v>
      </c>
      <c r="E34" s="17" t="n">
        <f aca="false">C34+D34</f>
        <v>40</v>
      </c>
      <c r="F34" s="4" t="s">
        <v>258</v>
      </c>
      <c r="G34" s="4" t="s">
        <v>471</v>
      </c>
      <c r="H34" s="4" t="s">
        <v>472</v>
      </c>
      <c r="I34" s="4"/>
      <c r="J34" s="4"/>
      <c r="K34" s="4"/>
      <c r="L34" s="4"/>
      <c r="M34" s="4"/>
      <c r="N34" s="4" t="s">
        <v>473</v>
      </c>
      <c r="O34" s="4"/>
      <c r="P34" s="4" t="s">
        <v>474</v>
      </c>
      <c r="Q34" s="19"/>
    </row>
    <row r="35" customFormat="false" ht="15" hidden="false" customHeight="false" outlineLevel="0" collapsed="false">
      <c r="A35" s="5" t="s">
        <v>475</v>
      </c>
      <c r="B35" s="5" t="s">
        <v>476</v>
      </c>
      <c r="C35" s="17" t="n">
        <f aca="false">E34</f>
        <v>40</v>
      </c>
      <c r="D35" s="18" t="n">
        <v>0.25</v>
      </c>
      <c r="E35" s="17" t="n">
        <f aca="false">C35+D35</f>
        <v>40.25</v>
      </c>
      <c r="F35" s="4" t="s">
        <v>258</v>
      </c>
      <c r="G35" s="4" t="s">
        <v>212</v>
      </c>
      <c r="H35" s="4" t="s">
        <v>477</v>
      </c>
      <c r="I35" s="4"/>
      <c r="J35" s="4"/>
      <c r="K35" s="4"/>
      <c r="L35" s="4"/>
      <c r="M35" s="4"/>
      <c r="N35" s="4"/>
      <c r="O35" s="4"/>
      <c r="P35" s="4" t="s">
        <v>274</v>
      </c>
      <c r="Q35" s="19"/>
    </row>
    <row r="36" customFormat="false" ht="26.85" hidden="false" customHeight="false" outlineLevel="0" collapsed="false">
      <c r="A36" s="5" t="s">
        <v>134</v>
      </c>
      <c r="B36" s="5" t="s">
        <v>476</v>
      </c>
      <c r="C36" s="17" t="n">
        <f aca="false">E35</f>
        <v>40.25</v>
      </c>
      <c r="D36" s="18" t="n">
        <v>0.5</v>
      </c>
      <c r="E36" s="17" t="n">
        <f aca="false">C36+D36</f>
        <v>40.75</v>
      </c>
      <c r="F36" s="4" t="s">
        <v>258</v>
      </c>
      <c r="G36" s="5" t="s">
        <v>478</v>
      </c>
      <c r="H36" s="5" t="s">
        <v>479</v>
      </c>
      <c r="I36" s="4"/>
      <c r="J36" s="4"/>
      <c r="K36" s="4"/>
      <c r="L36" s="4"/>
      <c r="M36" s="4"/>
      <c r="N36" s="4" t="s">
        <v>480</v>
      </c>
      <c r="O36" s="4" t="s">
        <v>481</v>
      </c>
      <c r="P36" s="4" t="s">
        <v>482</v>
      </c>
      <c r="Q36" s="19"/>
    </row>
    <row r="37" customFormat="false" ht="52.2" hidden="false" customHeight="false" outlineLevel="0" collapsed="false">
      <c r="A37" s="5" t="s">
        <v>150</v>
      </c>
      <c r="B37" s="5" t="s">
        <v>476</v>
      </c>
      <c r="C37" s="17" t="n">
        <f aca="false">E36</f>
        <v>40.75</v>
      </c>
      <c r="D37" s="18" t="n">
        <v>1</v>
      </c>
      <c r="E37" s="17" t="n">
        <f aca="false">C37+D37</f>
        <v>41.75</v>
      </c>
      <c r="F37" s="4" t="s">
        <v>258</v>
      </c>
      <c r="G37" s="5" t="s">
        <v>483</v>
      </c>
      <c r="H37" s="5" t="s">
        <v>484</v>
      </c>
      <c r="I37" s="4"/>
      <c r="J37" s="4"/>
      <c r="K37" s="4"/>
      <c r="L37" s="4"/>
      <c r="M37" s="5" t="s">
        <v>485</v>
      </c>
      <c r="N37" s="4" t="s">
        <v>486</v>
      </c>
      <c r="O37" s="4" t="s">
        <v>487</v>
      </c>
      <c r="P37" s="4" t="s">
        <v>488</v>
      </c>
      <c r="Q37" s="19"/>
    </row>
    <row r="38" customFormat="false" ht="39.55" hidden="false" customHeight="false" outlineLevel="0" collapsed="false">
      <c r="A38" s="5" t="s">
        <v>153</v>
      </c>
      <c r="B38" s="5" t="s">
        <v>476</v>
      </c>
      <c r="C38" s="17" t="n">
        <f aca="false">E37</f>
        <v>41.75</v>
      </c>
      <c r="D38" s="18" t="n">
        <v>0.75</v>
      </c>
      <c r="E38" s="17" t="n">
        <f aca="false">C38+D38</f>
        <v>42.5</v>
      </c>
      <c r="F38" s="4" t="s">
        <v>258</v>
      </c>
      <c r="G38" s="4" t="s">
        <v>489</v>
      </c>
      <c r="H38" s="4" t="s">
        <v>490</v>
      </c>
      <c r="I38" s="4" t="s">
        <v>491</v>
      </c>
      <c r="J38" s="4" t="s">
        <v>492</v>
      </c>
      <c r="K38" s="4" t="s">
        <v>493</v>
      </c>
      <c r="L38" s="4" t="s">
        <v>494</v>
      </c>
      <c r="M38" s="5" t="s">
        <v>495</v>
      </c>
      <c r="N38" s="4" t="s">
        <v>496</v>
      </c>
      <c r="O38" s="4" t="s">
        <v>497</v>
      </c>
      <c r="P38" s="4" t="s">
        <v>498</v>
      </c>
      <c r="Q38" s="19"/>
    </row>
    <row r="39" customFormat="false" ht="39.55" hidden="false" customHeight="false" outlineLevel="0" collapsed="false">
      <c r="A39" s="5" t="s">
        <v>137</v>
      </c>
      <c r="B39" s="5" t="s">
        <v>476</v>
      </c>
      <c r="C39" s="17" t="n">
        <f aca="false">E38</f>
        <v>42.5</v>
      </c>
      <c r="D39" s="18" t="n">
        <v>5</v>
      </c>
      <c r="E39" s="17" t="n">
        <f aca="false">C39+D39</f>
        <v>47.5</v>
      </c>
      <c r="F39" s="4" t="s">
        <v>445</v>
      </c>
      <c r="G39" s="5" t="s">
        <v>499</v>
      </c>
      <c r="H39" s="4" t="s">
        <v>500</v>
      </c>
      <c r="I39" s="5" t="s">
        <v>501</v>
      </c>
      <c r="J39" s="4" t="s">
        <v>502</v>
      </c>
      <c r="K39" s="4" t="s">
        <v>503</v>
      </c>
      <c r="L39" s="5" t="s">
        <v>504</v>
      </c>
      <c r="M39" s="4"/>
      <c r="N39" s="4" t="s">
        <v>505</v>
      </c>
      <c r="O39" s="4" t="s">
        <v>506</v>
      </c>
      <c r="P39" s="4" t="s">
        <v>507</v>
      </c>
      <c r="Q39" s="19"/>
    </row>
    <row r="40" customFormat="false" ht="64.9" hidden="false" customHeight="false" outlineLevel="0" collapsed="false">
      <c r="A40" s="5" t="s">
        <v>508</v>
      </c>
      <c r="B40" s="5" t="s">
        <v>476</v>
      </c>
      <c r="C40" s="17" t="n">
        <f aca="false">E39</f>
        <v>47.5</v>
      </c>
      <c r="D40" s="18" t="n">
        <v>4</v>
      </c>
      <c r="E40" s="17" t="n">
        <f aca="false">C40+D40</f>
        <v>51.5</v>
      </c>
      <c r="F40" s="4" t="s">
        <v>509</v>
      </c>
      <c r="G40" s="4" t="s">
        <v>510</v>
      </c>
      <c r="H40" s="4" t="s">
        <v>511</v>
      </c>
      <c r="I40" s="4" t="s">
        <v>512</v>
      </c>
      <c r="J40" s="4" t="s">
        <v>513</v>
      </c>
      <c r="K40" s="5" t="s">
        <v>514</v>
      </c>
      <c r="L40" s="4" t="s">
        <v>515</v>
      </c>
      <c r="M40" s="4"/>
      <c r="N40" s="4" t="s">
        <v>516</v>
      </c>
      <c r="O40" s="4" t="s">
        <v>517</v>
      </c>
      <c r="P40" s="4" t="s">
        <v>274</v>
      </c>
      <c r="Q40" s="19"/>
    </row>
    <row r="41" customFormat="false" ht="52.2" hidden="false" customHeight="false" outlineLevel="0" collapsed="false">
      <c r="A41" s="5" t="s">
        <v>145</v>
      </c>
      <c r="B41" s="5" t="s">
        <v>476</v>
      </c>
      <c r="C41" s="17" t="n">
        <f aca="false">E40</f>
        <v>51.5</v>
      </c>
      <c r="D41" s="18" t="n">
        <v>0.75</v>
      </c>
      <c r="E41" s="17" t="n">
        <f aca="false">C41+D41</f>
        <v>52.25</v>
      </c>
      <c r="F41" s="4" t="s">
        <v>281</v>
      </c>
      <c r="G41" s="4" t="s">
        <v>518</v>
      </c>
      <c r="H41" s="4" t="s">
        <v>519</v>
      </c>
      <c r="I41" s="4"/>
      <c r="J41" s="4"/>
      <c r="K41" s="4" t="s">
        <v>520</v>
      </c>
      <c r="L41" s="4"/>
      <c r="M41" s="5" t="s">
        <v>521</v>
      </c>
      <c r="N41" s="4" t="s">
        <v>522</v>
      </c>
      <c r="O41" s="4" t="s">
        <v>523</v>
      </c>
      <c r="P41" s="4" t="s">
        <v>524</v>
      </c>
      <c r="Q41" s="19"/>
    </row>
    <row r="42" customFormat="false" ht="52.2" hidden="false" customHeight="false" outlineLevel="0" collapsed="false">
      <c r="A42" s="5" t="s">
        <v>168</v>
      </c>
      <c r="B42" s="5" t="s">
        <v>476</v>
      </c>
      <c r="C42" s="17" t="n">
        <f aca="false">E41</f>
        <v>52.25</v>
      </c>
      <c r="D42" s="18" t="n">
        <v>0.75</v>
      </c>
      <c r="E42" s="17" t="n">
        <f aca="false">C42+D42</f>
        <v>53</v>
      </c>
      <c r="F42" s="4" t="s">
        <v>258</v>
      </c>
      <c r="G42" s="4" t="s">
        <v>525</v>
      </c>
      <c r="H42" s="4" t="s">
        <v>526</v>
      </c>
      <c r="I42" s="4" t="s">
        <v>527</v>
      </c>
      <c r="J42" s="4" t="s">
        <v>528</v>
      </c>
      <c r="K42" s="4" t="s">
        <v>529</v>
      </c>
      <c r="L42" s="4" t="s">
        <v>530</v>
      </c>
      <c r="M42" s="4"/>
      <c r="N42" s="4" t="s">
        <v>531</v>
      </c>
      <c r="O42" s="4" t="s">
        <v>497</v>
      </c>
      <c r="P42" s="4" t="s">
        <v>532</v>
      </c>
      <c r="Q42" s="19"/>
    </row>
    <row r="43" customFormat="false" ht="15" hidden="false" customHeight="false" outlineLevel="0" collapsed="false">
      <c r="A43" s="5" t="s">
        <v>533</v>
      </c>
      <c r="B43" s="5" t="s">
        <v>534</v>
      </c>
      <c r="C43" s="17" t="n">
        <f aca="false">E42</f>
        <v>53</v>
      </c>
      <c r="D43" s="18" t="n">
        <v>0.25</v>
      </c>
      <c r="E43" s="17" t="n">
        <f aca="false">C43+D43</f>
        <v>53.25</v>
      </c>
      <c r="F43" s="4" t="s">
        <v>258</v>
      </c>
      <c r="G43" s="4" t="s">
        <v>212</v>
      </c>
      <c r="H43" s="4" t="s">
        <v>535</v>
      </c>
      <c r="I43" s="4"/>
      <c r="J43" s="4"/>
      <c r="K43" s="4"/>
      <c r="L43" s="4"/>
      <c r="M43" s="4"/>
      <c r="N43" s="4"/>
      <c r="O43" s="4"/>
      <c r="P43" s="4" t="s">
        <v>274</v>
      </c>
      <c r="Q43" s="19"/>
    </row>
    <row r="44" customFormat="false" ht="39.55" hidden="false" customHeight="false" outlineLevel="0" collapsed="false">
      <c r="A44" s="5" t="s">
        <v>184</v>
      </c>
      <c r="B44" s="5" t="s">
        <v>534</v>
      </c>
      <c r="C44" s="17" t="n">
        <f aca="false">E43</f>
        <v>53.25</v>
      </c>
      <c r="D44" s="18" t="n">
        <v>0.75</v>
      </c>
      <c r="E44" s="17" t="n">
        <f aca="false">C44+D44</f>
        <v>54</v>
      </c>
      <c r="F44" s="4" t="s">
        <v>258</v>
      </c>
      <c r="G44" s="5" t="s">
        <v>536</v>
      </c>
      <c r="H44" s="4" t="s">
        <v>537</v>
      </c>
      <c r="I44" s="4"/>
      <c r="J44" s="4"/>
      <c r="K44" s="4"/>
      <c r="L44" s="4"/>
      <c r="M44" s="4"/>
      <c r="N44" s="4"/>
      <c r="O44" s="5" t="s">
        <v>538</v>
      </c>
      <c r="P44" s="4" t="s">
        <v>539</v>
      </c>
      <c r="Q44" s="19"/>
    </row>
    <row r="45" customFormat="false" ht="26.85" hidden="false" customHeight="false" outlineLevel="0" collapsed="false">
      <c r="A45" s="5" t="s">
        <v>226</v>
      </c>
      <c r="B45" s="5" t="s">
        <v>534</v>
      </c>
      <c r="C45" s="17" t="n">
        <f aca="false">E44</f>
        <v>54</v>
      </c>
      <c r="D45" s="18" t="n">
        <v>1.5</v>
      </c>
      <c r="E45" s="17" t="n">
        <f aca="false">C45+D45</f>
        <v>55.5</v>
      </c>
      <c r="F45" s="4" t="s">
        <v>540</v>
      </c>
      <c r="G45" s="5" t="s">
        <v>541</v>
      </c>
      <c r="H45" s="4" t="s">
        <v>542</v>
      </c>
      <c r="I45" s="4" t="s">
        <v>543</v>
      </c>
      <c r="J45" s="4" t="s">
        <v>544</v>
      </c>
      <c r="K45" s="4" t="s">
        <v>545</v>
      </c>
      <c r="L45" s="4" t="s">
        <v>546</v>
      </c>
      <c r="M45" s="4"/>
      <c r="N45" s="4"/>
      <c r="O45" s="4" t="s">
        <v>547</v>
      </c>
      <c r="P45" s="4" t="s">
        <v>274</v>
      </c>
      <c r="Q45" s="19"/>
    </row>
    <row r="46" customFormat="false" ht="26.85" hidden="false" customHeight="false" outlineLevel="0" collapsed="false">
      <c r="A46" s="5" t="s">
        <v>191</v>
      </c>
      <c r="B46" s="5" t="s">
        <v>534</v>
      </c>
      <c r="C46" s="17" t="n">
        <f aca="false">E45</f>
        <v>55.5</v>
      </c>
      <c r="D46" s="18" t="n">
        <v>0.5</v>
      </c>
      <c r="E46" s="17" t="n">
        <f aca="false">C46+D46</f>
        <v>56</v>
      </c>
      <c r="F46" s="4" t="s">
        <v>258</v>
      </c>
      <c r="G46" s="4" t="s">
        <v>548</v>
      </c>
      <c r="H46" s="4" t="s">
        <v>549</v>
      </c>
      <c r="I46" s="4"/>
      <c r="J46" s="4"/>
      <c r="K46" s="4"/>
      <c r="L46" s="4"/>
      <c r="M46" s="5" t="s">
        <v>550</v>
      </c>
      <c r="N46" s="5" t="s">
        <v>551</v>
      </c>
      <c r="O46" s="4" t="s">
        <v>263</v>
      </c>
      <c r="P46" s="4" t="s">
        <v>552</v>
      </c>
      <c r="Q46" s="19"/>
    </row>
    <row r="47" customFormat="false" ht="26.85" hidden="false" customHeight="false" outlineLevel="0" collapsed="false">
      <c r="A47" s="5" t="s">
        <v>229</v>
      </c>
      <c r="B47" s="5" t="s">
        <v>534</v>
      </c>
      <c r="C47" s="17" t="n">
        <f aca="false">E46</f>
        <v>56</v>
      </c>
      <c r="D47" s="18" t="n">
        <v>1</v>
      </c>
      <c r="E47" s="17" t="n">
        <f aca="false">C47+D47</f>
        <v>57</v>
      </c>
      <c r="F47" s="4" t="s">
        <v>258</v>
      </c>
      <c r="G47" s="4" t="s">
        <v>553</v>
      </c>
      <c r="H47" s="4" t="s">
        <v>554</v>
      </c>
      <c r="I47" s="4"/>
      <c r="J47" s="4"/>
      <c r="K47" s="4"/>
      <c r="L47" s="4"/>
      <c r="M47" s="4"/>
      <c r="N47" s="4" t="s">
        <v>555</v>
      </c>
      <c r="O47" s="5" t="s">
        <v>556</v>
      </c>
      <c r="P47" s="4" t="s">
        <v>274</v>
      </c>
      <c r="Q47" s="19"/>
    </row>
    <row r="48" customFormat="false" ht="52.2" hidden="false" customHeight="false" outlineLevel="0" collapsed="false">
      <c r="A48" s="5" t="s">
        <v>232</v>
      </c>
      <c r="B48" s="5" t="s">
        <v>534</v>
      </c>
      <c r="C48" s="17" t="n">
        <f aca="false">E47</f>
        <v>57</v>
      </c>
      <c r="D48" s="18" t="n">
        <v>1</v>
      </c>
      <c r="E48" s="17" t="n">
        <f aca="false">C48+D48</f>
        <v>58</v>
      </c>
      <c r="F48" s="4" t="s">
        <v>557</v>
      </c>
      <c r="G48" s="4" t="s">
        <v>558</v>
      </c>
      <c r="H48" s="4" t="s">
        <v>559</v>
      </c>
      <c r="I48" s="4"/>
      <c r="J48" s="4"/>
      <c r="K48" s="4"/>
      <c r="L48" s="4"/>
      <c r="M48" s="5" t="s">
        <v>560</v>
      </c>
      <c r="N48" s="4" t="s">
        <v>561</v>
      </c>
      <c r="O48" s="4" t="s">
        <v>562</v>
      </c>
      <c r="P48" s="4" t="s">
        <v>274</v>
      </c>
      <c r="Q48" s="19"/>
    </row>
    <row r="49" customFormat="false" ht="39.55" hidden="false" customHeight="false" outlineLevel="0" collapsed="false">
      <c r="A49" s="5" t="s">
        <v>202</v>
      </c>
      <c r="B49" s="5" t="s">
        <v>534</v>
      </c>
      <c r="C49" s="17" t="n">
        <f aca="false">E48</f>
        <v>58</v>
      </c>
      <c r="D49" s="18" t="n">
        <v>2</v>
      </c>
      <c r="E49" s="17" t="n">
        <f aca="false">C49+D49</f>
        <v>60</v>
      </c>
      <c r="F49" s="4" t="s">
        <v>265</v>
      </c>
      <c r="G49" s="5" t="s">
        <v>563</v>
      </c>
      <c r="H49" s="4" t="s">
        <v>564</v>
      </c>
      <c r="I49" s="4"/>
      <c r="J49" s="4"/>
      <c r="K49" s="4"/>
      <c r="L49" s="4"/>
      <c r="M49" s="5" t="s">
        <v>565</v>
      </c>
      <c r="N49" s="4" t="s">
        <v>566</v>
      </c>
      <c r="O49" s="4" t="s">
        <v>567</v>
      </c>
      <c r="P49" s="4" t="s">
        <v>568</v>
      </c>
      <c r="Q49" s="19"/>
    </row>
    <row r="50" customFormat="false" ht="15" hidden="false" customHeight="false" outlineLevel="0" collapsed="false">
      <c r="B50" s="11" t="s">
        <v>205</v>
      </c>
      <c r="D50" s="11" t="n">
        <f aca="false">SUM(D5:D49)</f>
        <v>60</v>
      </c>
      <c r="F50" s="20" t="str">
        <f aca="false">IF(D50&lt;=60,"60分以内","60分を超えています")</f>
        <v>60分以内</v>
      </c>
    </row>
  </sheetData>
  <conditionalFormatting sqref="A5:Q49">
    <cfRule type="expression" priority="2" aboveAverage="0" equalAverage="0" bottom="0" percent="0" rank="0" text="" dxfId="0">
      <formula>OR($F5="個人→投票",$F5="個人→ペア",$F5="グループ",$F5="個人→グループ",$F5="グループ発表",$F5="ペア",$F5="個人")</formula>
    </cfRule>
  </conditionalFormatting>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J1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14"/>
    <col collapsed="false" customWidth="true" hidden="false" outlineLevel="0" max="3" min="2" style="0" width="10"/>
    <col collapsed="false" customWidth="true" hidden="false" outlineLevel="0" max="5" min="4" style="0" width="7"/>
    <col collapsed="false" customWidth="true" hidden="false" outlineLevel="0" max="6" min="6" style="0" width="14"/>
    <col collapsed="false" customWidth="true" hidden="false" outlineLevel="0" max="7" min="7" style="0" width="7"/>
    <col collapsed="false" customWidth="true" hidden="false" outlineLevel="0" max="8" min="8" style="0" width="18"/>
    <col collapsed="false" customWidth="true" hidden="false" outlineLevel="0" max="9" min="9" style="0" width="34"/>
    <col collapsed="false" customWidth="true" hidden="false" outlineLevel="0" max="10" min="10" style="0" width="60"/>
  </cols>
  <sheetData>
    <row r="1" customFormat="false" ht="20.85" hidden="false" customHeight="false" outlineLevel="0" collapsed="false">
      <c r="A1" s="1" t="s">
        <v>569</v>
      </c>
    </row>
    <row r="2" customFormat="false" ht="15" hidden="false" customHeight="false" outlineLevel="0" collapsed="false">
      <c r="A2" s="2" t="s">
        <v>570</v>
      </c>
    </row>
    <row r="4" customFormat="false" ht="15" hidden="false" customHeight="false" outlineLevel="0" collapsed="false">
      <c r="A4" s="3" t="s">
        <v>241</v>
      </c>
      <c r="B4" s="3" t="s">
        <v>571</v>
      </c>
      <c r="C4" s="3" t="s">
        <v>572</v>
      </c>
      <c r="D4" s="3" t="s">
        <v>242</v>
      </c>
      <c r="E4" s="3" t="s">
        <v>244</v>
      </c>
      <c r="F4" s="3" t="s">
        <v>573</v>
      </c>
      <c r="G4" s="3" t="s">
        <v>574</v>
      </c>
      <c r="H4" s="3" t="s">
        <v>575</v>
      </c>
      <c r="I4" s="3" t="s">
        <v>576</v>
      </c>
      <c r="J4" s="3" t="s">
        <v>577</v>
      </c>
    </row>
    <row r="5" customFormat="false" ht="15" hidden="false" customHeight="false" outlineLevel="0" collapsed="false">
      <c r="A5" s="5" t="s">
        <v>257</v>
      </c>
      <c r="B5" s="4" t="s">
        <v>578</v>
      </c>
      <c r="C5" s="4" t="n">
        <v>5</v>
      </c>
      <c r="D5" s="4" t="n">
        <v>0</v>
      </c>
      <c r="E5" s="4" t="n">
        <v>5</v>
      </c>
      <c r="F5" s="4" t="n">
        <f aca="false">SUMIF(4_講師用進行台本!$B$5:$B$49,A5,4_講師用進行台本!$D$5:$D$49)</f>
        <v>5</v>
      </c>
      <c r="G5" s="4" t="n">
        <f aca="false">F5-C5</f>
        <v>0</v>
      </c>
      <c r="H5" s="5" t="s">
        <v>579</v>
      </c>
      <c r="I5" s="4" t="s">
        <v>580</v>
      </c>
      <c r="J5" s="4" t="s">
        <v>581</v>
      </c>
    </row>
    <row r="6" customFormat="false" ht="15" hidden="false" customHeight="false" outlineLevel="0" collapsed="false">
      <c r="A6" s="5" t="s">
        <v>293</v>
      </c>
      <c r="B6" s="4" t="s">
        <v>582</v>
      </c>
      <c r="C6" s="4" t="n">
        <v>10</v>
      </c>
      <c r="D6" s="4" t="n">
        <v>5</v>
      </c>
      <c r="E6" s="4" t="n">
        <v>15</v>
      </c>
      <c r="F6" s="4" t="n">
        <f aca="false">SUMIF(4_講師用進行台本!$B$5:$B$49,A6,4_講師用進行台本!$D$5:$D$49)</f>
        <v>10</v>
      </c>
      <c r="G6" s="4" t="n">
        <f aca="false">F6-C6</f>
        <v>0</v>
      </c>
      <c r="H6" s="5" t="s">
        <v>583</v>
      </c>
      <c r="I6" s="4" t="s">
        <v>584</v>
      </c>
      <c r="J6" s="5" t="s">
        <v>585</v>
      </c>
    </row>
    <row r="7" customFormat="false" ht="26.85" hidden="false" customHeight="false" outlineLevel="0" collapsed="false">
      <c r="A7" s="5" t="s">
        <v>350</v>
      </c>
      <c r="B7" s="4" t="s">
        <v>586</v>
      </c>
      <c r="C7" s="4" t="n">
        <v>15</v>
      </c>
      <c r="D7" s="4" t="n">
        <v>15</v>
      </c>
      <c r="E7" s="4" t="n">
        <v>30</v>
      </c>
      <c r="F7" s="4" t="n">
        <f aca="false">SUMIF(4_講師用進行台本!$B$5:$B$49,A7,4_講師用進行台本!$D$5:$D$49)</f>
        <v>15</v>
      </c>
      <c r="G7" s="4" t="n">
        <f aca="false">F7-C7</f>
        <v>0</v>
      </c>
      <c r="H7" s="5" t="s">
        <v>587</v>
      </c>
      <c r="I7" s="4" t="s">
        <v>588</v>
      </c>
      <c r="J7" s="4" t="s">
        <v>589</v>
      </c>
    </row>
    <row r="8" customFormat="false" ht="26.85" hidden="false" customHeight="false" outlineLevel="0" collapsed="false">
      <c r="A8" s="5" t="s">
        <v>429</v>
      </c>
      <c r="B8" s="4" t="s">
        <v>590</v>
      </c>
      <c r="C8" s="4" t="n">
        <v>10</v>
      </c>
      <c r="D8" s="4" t="n">
        <v>30</v>
      </c>
      <c r="E8" s="4" t="n">
        <v>40</v>
      </c>
      <c r="F8" s="4" t="n">
        <f aca="false">SUMIF(4_講師用進行台本!$B$5:$B$49,A8,4_講師用進行台本!$D$5:$D$49)</f>
        <v>10</v>
      </c>
      <c r="G8" s="4" t="n">
        <f aca="false">F8-C8</f>
        <v>0</v>
      </c>
      <c r="H8" s="5" t="s">
        <v>591</v>
      </c>
      <c r="I8" s="4" t="s">
        <v>592</v>
      </c>
      <c r="J8" s="4" t="s">
        <v>593</v>
      </c>
    </row>
    <row r="9" customFormat="false" ht="26.85" hidden="false" customHeight="false" outlineLevel="0" collapsed="false">
      <c r="A9" s="5" t="s">
        <v>476</v>
      </c>
      <c r="B9" s="4" t="s">
        <v>594</v>
      </c>
      <c r="C9" s="4" t="n">
        <v>13</v>
      </c>
      <c r="D9" s="4" t="n">
        <v>40</v>
      </c>
      <c r="E9" s="4" t="n">
        <v>53</v>
      </c>
      <c r="F9" s="4" t="n">
        <f aca="false">SUMIF(4_講師用進行台本!$B$5:$B$49,A9,4_講師用進行台本!$D$5:$D$49)</f>
        <v>13</v>
      </c>
      <c r="G9" s="4" t="n">
        <f aca="false">F9-C9</f>
        <v>0</v>
      </c>
      <c r="H9" s="5" t="s">
        <v>595</v>
      </c>
      <c r="I9" s="4" t="s">
        <v>596</v>
      </c>
      <c r="J9" s="4" t="s">
        <v>597</v>
      </c>
    </row>
    <row r="10" customFormat="false" ht="15" hidden="false" customHeight="false" outlineLevel="0" collapsed="false">
      <c r="A10" s="5" t="s">
        <v>534</v>
      </c>
      <c r="B10" s="4" t="s">
        <v>598</v>
      </c>
      <c r="C10" s="4" t="n">
        <v>7</v>
      </c>
      <c r="D10" s="4" t="n">
        <v>53</v>
      </c>
      <c r="E10" s="4" t="n">
        <v>60</v>
      </c>
      <c r="F10" s="4" t="n">
        <f aca="false">SUMIF(4_講師用進行台本!$B$5:$B$49,A10,4_講師用進行台本!$D$5:$D$49)</f>
        <v>7</v>
      </c>
      <c r="G10" s="4" t="n">
        <f aca="false">F10-C10</f>
        <v>0</v>
      </c>
      <c r="H10" s="5" t="s">
        <v>599</v>
      </c>
      <c r="I10" s="4" t="s">
        <v>600</v>
      </c>
      <c r="J10" s="4" t="s">
        <v>601</v>
      </c>
    </row>
    <row r="11" customFormat="false" ht="15" hidden="false" customHeight="false" outlineLevel="0" collapsed="false">
      <c r="A11" s="11" t="s">
        <v>205</v>
      </c>
      <c r="C11" s="11" t="n">
        <f aca="false">SUM(C5:C10)</f>
        <v>60</v>
      </c>
      <c r="F11" s="11" t="n">
        <f aca="false">SUM(F5:F10)</f>
        <v>60</v>
      </c>
      <c r="G11" s="11" t="n">
        <f aca="false">SUM(G5:G10)</f>
        <v>0</v>
      </c>
      <c r="H11" s="11" t="str">
        <f aca="false">COUNTA(4_講師用進行台本!A5:A49)&amp;"枚"</f>
        <v>45枚</v>
      </c>
    </row>
    <row r="13" customFormat="false" ht="15" hidden="false" customHeight="false" outlineLevel="0" collapsed="false">
      <c r="A13" s="9" t="s">
        <v>602</v>
      </c>
    </row>
    <row r="14" customFormat="false" ht="15" hidden="false" customHeight="false" outlineLevel="0" collapsed="false">
      <c r="A14" s="9" t="s">
        <v>603</v>
      </c>
    </row>
    <row r="15" customFormat="false" ht="15" hidden="false" customHeight="false" outlineLevel="0" collapsed="false">
      <c r="A15" s="9" t="s">
        <v>604</v>
      </c>
    </row>
    <row r="16" customFormat="false" ht="15" hidden="false" customHeight="false" outlineLevel="0" collapsed="false">
      <c r="A16" s="9" t="s">
        <v>605</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O3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24"/>
    <col collapsed="false" customWidth="true" hidden="false" outlineLevel="0" max="2" min="2" style="0" width="7"/>
    <col collapsed="false" customWidth="true" hidden="false" outlineLevel="0" max="3" min="3" style="0" width="30"/>
    <col collapsed="false" customWidth="true" hidden="false" outlineLevel="0" max="4" min="4" style="0" width="16"/>
    <col collapsed="false" customWidth="true" hidden="false" outlineLevel="0" max="5" min="5" style="0" width="8"/>
    <col collapsed="false" customWidth="true" hidden="false" outlineLevel="0" max="6" min="6" style="0" width="36"/>
    <col collapsed="false" customWidth="true" hidden="false" outlineLevel="0" max="7" min="7" style="0" width="14"/>
    <col collapsed="false" customWidth="true" hidden="false" outlineLevel="0" max="8" min="8" style="0" width="10"/>
    <col collapsed="false" customWidth="true" hidden="false" outlineLevel="0" max="9" min="9" style="0" width="16"/>
    <col collapsed="false" customWidth="true" hidden="false" outlineLevel="0" max="10" min="10" style="0" width="36"/>
    <col collapsed="false" customWidth="true" hidden="false" outlineLevel="0" max="11" min="11" style="0" width="10"/>
    <col collapsed="false" customWidth="true" hidden="false" outlineLevel="0" max="13" min="12" style="0" width="14"/>
    <col collapsed="false" customWidth="true" hidden="false" outlineLevel="0" max="14" min="14" style="0" width="10"/>
    <col collapsed="false" customWidth="true" hidden="false" outlineLevel="0" max="15" min="15" style="0" width="24"/>
  </cols>
  <sheetData>
    <row r="1" customFormat="false" ht="19.7" hidden="false" customHeight="false" outlineLevel="0" collapsed="false">
      <c r="A1" s="1" t="s">
        <v>606</v>
      </c>
    </row>
    <row r="2" customFormat="false" ht="15" hidden="false" customHeight="false" outlineLevel="0" collapsed="false">
      <c r="A2" s="2" t="s">
        <v>607</v>
      </c>
    </row>
    <row r="4" customFormat="false" ht="26.85" hidden="false" customHeight="false" outlineLevel="0" collapsed="false">
      <c r="A4" s="3" t="s">
        <v>608</v>
      </c>
      <c r="B4" s="3" t="s">
        <v>609</v>
      </c>
      <c r="C4" s="3" t="s">
        <v>610</v>
      </c>
      <c r="D4" s="3" t="s">
        <v>611</v>
      </c>
      <c r="E4" s="3" t="s">
        <v>575</v>
      </c>
      <c r="F4" s="3" t="s">
        <v>612</v>
      </c>
      <c r="G4" s="3" t="s">
        <v>613</v>
      </c>
      <c r="H4" s="3" t="s">
        <v>614</v>
      </c>
      <c r="I4" s="3" t="s">
        <v>615</v>
      </c>
      <c r="J4" s="3" t="s">
        <v>616</v>
      </c>
      <c r="K4" s="3" t="s">
        <v>617</v>
      </c>
      <c r="L4" s="3" t="s">
        <v>618</v>
      </c>
      <c r="M4" s="3" t="s">
        <v>619</v>
      </c>
      <c r="N4" s="3" t="s">
        <v>620</v>
      </c>
      <c r="O4" s="3" t="s">
        <v>621</v>
      </c>
    </row>
    <row r="5" customFormat="false" ht="15" hidden="false" customHeight="false" outlineLevel="0" collapsed="false">
      <c r="A5" s="5" t="s">
        <v>622</v>
      </c>
      <c r="B5" s="4" t="s">
        <v>623</v>
      </c>
      <c r="C5" s="5" t="s">
        <v>624</v>
      </c>
      <c r="D5" s="5" t="s">
        <v>625</v>
      </c>
      <c r="E5" s="5" t="s">
        <v>256</v>
      </c>
      <c r="F5" s="4" t="s">
        <v>626</v>
      </c>
      <c r="G5" s="5" t="s">
        <v>627</v>
      </c>
      <c r="H5" s="5" t="s">
        <v>628</v>
      </c>
      <c r="I5" s="5" t="s">
        <v>629</v>
      </c>
      <c r="J5" s="4" t="s">
        <v>630</v>
      </c>
      <c r="K5" s="4"/>
      <c r="L5" s="21" t="s">
        <v>631</v>
      </c>
      <c r="M5" s="19"/>
      <c r="N5" s="19"/>
      <c r="O5" s="19"/>
    </row>
    <row r="6" customFormat="false" ht="15" hidden="false" customHeight="false" outlineLevel="0" collapsed="false">
      <c r="A6" s="5" t="s">
        <v>632</v>
      </c>
      <c r="B6" s="4" t="s">
        <v>623</v>
      </c>
      <c r="C6" s="4" t="s">
        <v>633</v>
      </c>
      <c r="D6" s="5" t="s">
        <v>257</v>
      </c>
      <c r="E6" s="5" t="s">
        <v>208</v>
      </c>
      <c r="F6" s="4" t="s">
        <v>634</v>
      </c>
      <c r="G6" s="5" t="s">
        <v>635</v>
      </c>
      <c r="H6" s="5" t="s">
        <v>636</v>
      </c>
      <c r="I6" s="5" t="s">
        <v>637</v>
      </c>
      <c r="J6" s="4" t="s">
        <v>638</v>
      </c>
      <c r="K6" s="4"/>
      <c r="L6" s="21" t="s">
        <v>639</v>
      </c>
      <c r="M6" s="19"/>
      <c r="N6" s="19"/>
      <c r="O6" s="19"/>
    </row>
    <row r="7" customFormat="false" ht="26.85" hidden="false" customHeight="false" outlineLevel="0" collapsed="false">
      <c r="A7" s="5" t="s">
        <v>640</v>
      </c>
      <c r="B7" s="4" t="s">
        <v>281</v>
      </c>
      <c r="C7" s="4" t="s">
        <v>641</v>
      </c>
      <c r="D7" s="5" t="s">
        <v>257</v>
      </c>
      <c r="E7" s="5" t="s">
        <v>34</v>
      </c>
      <c r="F7" s="4" t="s">
        <v>642</v>
      </c>
      <c r="G7" s="5" t="s">
        <v>643</v>
      </c>
      <c r="H7" s="5" t="s">
        <v>628</v>
      </c>
      <c r="I7" s="5" t="s">
        <v>644</v>
      </c>
      <c r="J7" s="4" t="s">
        <v>645</v>
      </c>
      <c r="K7" s="5" t="s">
        <v>646</v>
      </c>
      <c r="L7" s="21" t="s">
        <v>631</v>
      </c>
      <c r="M7" s="19"/>
      <c r="N7" s="19"/>
      <c r="O7" s="19"/>
    </row>
    <row r="8" customFormat="false" ht="15" hidden="false" customHeight="false" outlineLevel="0" collapsed="false">
      <c r="A8" s="5" t="s">
        <v>647</v>
      </c>
      <c r="B8" s="4" t="s">
        <v>623</v>
      </c>
      <c r="C8" s="4" t="s">
        <v>648</v>
      </c>
      <c r="D8" s="5" t="s">
        <v>649</v>
      </c>
      <c r="E8" s="5" t="s">
        <v>324</v>
      </c>
      <c r="F8" s="4" t="s">
        <v>650</v>
      </c>
      <c r="G8" s="5" t="s">
        <v>651</v>
      </c>
      <c r="H8" s="5" t="s">
        <v>652</v>
      </c>
      <c r="I8" s="5" t="s">
        <v>653</v>
      </c>
      <c r="J8" s="4" t="s">
        <v>654</v>
      </c>
      <c r="K8" s="4"/>
      <c r="L8" s="21" t="s">
        <v>631</v>
      </c>
      <c r="M8" s="19"/>
      <c r="N8" s="19"/>
      <c r="O8" s="19"/>
    </row>
    <row r="9" customFormat="false" ht="15" hidden="false" customHeight="false" outlineLevel="0" collapsed="false">
      <c r="A9" s="5" t="s">
        <v>622</v>
      </c>
      <c r="B9" s="4" t="s">
        <v>623</v>
      </c>
      <c r="C9" s="5" t="s">
        <v>624</v>
      </c>
      <c r="D9" s="5" t="s">
        <v>625</v>
      </c>
      <c r="E9" s="5" t="s">
        <v>214</v>
      </c>
      <c r="F9" s="4" t="s">
        <v>626</v>
      </c>
      <c r="G9" s="5" t="s">
        <v>655</v>
      </c>
      <c r="H9" s="5" t="s">
        <v>628</v>
      </c>
      <c r="I9" s="5" t="s">
        <v>656</v>
      </c>
      <c r="J9" s="4" t="s">
        <v>630</v>
      </c>
      <c r="K9" s="4"/>
      <c r="L9" s="21" t="s">
        <v>631</v>
      </c>
      <c r="M9" s="19"/>
      <c r="N9" s="19"/>
      <c r="O9" s="19"/>
    </row>
    <row r="10" customFormat="false" ht="15" hidden="false" customHeight="false" outlineLevel="0" collapsed="false">
      <c r="A10" s="5" t="s">
        <v>657</v>
      </c>
      <c r="B10" s="4" t="s">
        <v>281</v>
      </c>
      <c r="C10" s="4" t="s">
        <v>658</v>
      </c>
      <c r="D10" s="5" t="s">
        <v>350</v>
      </c>
      <c r="E10" s="5" t="s">
        <v>353</v>
      </c>
      <c r="F10" s="4" t="s">
        <v>659</v>
      </c>
      <c r="G10" s="5" t="s">
        <v>643</v>
      </c>
      <c r="H10" s="5" t="s">
        <v>628</v>
      </c>
      <c r="I10" s="5" t="s">
        <v>644</v>
      </c>
      <c r="J10" s="4" t="s">
        <v>660</v>
      </c>
      <c r="K10" s="5" t="s">
        <v>661</v>
      </c>
      <c r="L10" s="21" t="s">
        <v>631</v>
      </c>
      <c r="M10" s="19"/>
      <c r="N10" s="19"/>
      <c r="O10" s="19"/>
    </row>
    <row r="11" customFormat="false" ht="26.85" hidden="false" customHeight="false" outlineLevel="0" collapsed="false">
      <c r="A11" s="5" t="s">
        <v>662</v>
      </c>
      <c r="B11" s="4" t="s">
        <v>623</v>
      </c>
      <c r="C11" s="5" t="s">
        <v>663</v>
      </c>
      <c r="D11" s="5" t="s">
        <v>350</v>
      </c>
      <c r="E11" s="5" t="s">
        <v>83</v>
      </c>
      <c r="F11" s="4" t="s">
        <v>664</v>
      </c>
      <c r="G11" s="5" t="s">
        <v>665</v>
      </c>
      <c r="H11" s="5" t="s">
        <v>666</v>
      </c>
      <c r="I11" s="5" t="s">
        <v>667</v>
      </c>
      <c r="J11" s="4" t="s">
        <v>668</v>
      </c>
      <c r="K11" s="4"/>
      <c r="L11" s="21" t="s">
        <v>631</v>
      </c>
      <c r="M11" s="19"/>
      <c r="N11" s="19"/>
      <c r="O11" s="19"/>
    </row>
    <row r="12" customFormat="false" ht="26.85" hidden="false" customHeight="false" outlineLevel="0" collapsed="false">
      <c r="A12" s="5" t="s">
        <v>669</v>
      </c>
      <c r="B12" s="4" t="s">
        <v>623</v>
      </c>
      <c r="C12" s="4" t="s">
        <v>670</v>
      </c>
      <c r="D12" s="5" t="s">
        <v>429</v>
      </c>
      <c r="E12" s="5" t="s">
        <v>102</v>
      </c>
      <c r="F12" s="4" t="s">
        <v>671</v>
      </c>
      <c r="G12" s="5" t="s">
        <v>672</v>
      </c>
      <c r="H12" s="5" t="s">
        <v>636</v>
      </c>
      <c r="I12" s="5" t="s">
        <v>673</v>
      </c>
      <c r="J12" s="4" t="s">
        <v>638</v>
      </c>
      <c r="K12" s="4"/>
      <c r="L12" s="21" t="s">
        <v>639</v>
      </c>
      <c r="M12" s="19"/>
      <c r="N12" s="19"/>
      <c r="O12" s="19"/>
    </row>
    <row r="13" customFormat="false" ht="15" hidden="false" customHeight="false" outlineLevel="0" collapsed="false">
      <c r="A13" s="5" t="s">
        <v>674</v>
      </c>
      <c r="B13" s="4" t="s">
        <v>623</v>
      </c>
      <c r="C13" s="5" t="s">
        <v>675</v>
      </c>
      <c r="D13" s="5" t="s">
        <v>476</v>
      </c>
      <c r="E13" s="5" t="s">
        <v>150</v>
      </c>
      <c r="F13" s="4" t="s">
        <v>676</v>
      </c>
      <c r="G13" s="5" t="s">
        <v>677</v>
      </c>
      <c r="H13" s="5" t="s">
        <v>678</v>
      </c>
      <c r="I13" s="5" t="s">
        <v>679</v>
      </c>
      <c r="J13" s="4" t="s">
        <v>638</v>
      </c>
      <c r="K13" s="4"/>
      <c r="L13" s="21" t="s">
        <v>639</v>
      </c>
      <c r="M13" s="19"/>
      <c r="N13" s="19"/>
      <c r="O13" s="19"/>
    </row>
    <row r="14" customFormat="false" ht="15" hidden="false" customHeight="false" outlineLevel="0" collapsed="false">
      <c r="A14" s="5" t="s">
        <v>680</v>
      </c>
      <c r="B14" s="4" t="s">
        <v>281</v>
      </c>
      <c r="C14" s="4" t="s">
        <v>681</v>
      </c>
      <c r="D14" s="5" t="s">
        <v>476</v>
      </c>
      <c r="E14" s="5" t="s">
        <v>150</v>
      </c>
      <c r="F14" s="4" t="s">
        <v>682</v>
      </c>
      <c r="G14" s="5" t="s">
        <v>683</v>
      </c>
      <c r="H14" s="5" t="s">
        <v>684</v>
      </c>
      <c r="I14" s="5" t="s">
        <v>685</v>
      </c>
      <c r="J14" s="4" t="s">
        <v>638</v>
      </c>
      <c r="K14" s="5" t="s">
        <v>686</v>
      </c>
      <c r="L14" s="21" t="s">
        <v>639</v>
      </c>
      <c r="M14" s="19"/>
      <c r="N14" s="19"/>
      <c r="O14" s="19"/>
    </row>
    <row r="15" customFormat="false" ht="15" hidden="false" customHeight="false" outlineLevel="0" collapsed="false">
      <c r="A15" s="5" t="s">
        <v>687</v>
      </c>
      <c r="B15" s="4" t="s">
        <v>623</v>
      </c>
      <c r="C15" s="4" t="s">
        <v>688</v>
      </c>
      <c r="D15" s="5" t="s">
        <v>476</v>
      </c>
      <c r="E15" s="5" t="s">
        <v>153</v>
      </c>
      <c r="F15" s="4" t="s">
        <v>689</v>
      </c>
      <c r="G15" s="5" t="s">
        <v>690</v>
      </c>
      <c r="H15" s="5" t="s">
        <v>691</v>
      </c>
      <c r="I15" s="5" t="s">
        <v>692</v>
      </c>
      <c r="J15" s="4" t="s">
        <v>693</v>
      </c>
      <c r="K15" s="4"/>
      <c r="L15" s="21" t="s">
        <v>631</v>
      </c>
      <c r="M15" s="19"/>
      <c r="N15" s="19"/>
      <c r="O15" s="19"/>
    </row>
    <row r="16" customFormat="false" ht="26.85" hidden="false" customHeight="false" outlineLevel="0" collapsed="false">
      <c r="A16" s="5" t="s">
        <v>694</v>
      </c>
      <c r="B16" s="4" t="s">
        <v>281</v>
      </c>
      <c r="C16" s="4" t="s">
        <v>695</v>
      </c>
      <c r="D16" s="5" t="s">
        <v>476</v>
      </c>
      <c r="E16" s="5" t="s">
        <v>145</v>
      </c>
      <c r="F16" s="4" t="s">
        <v>696</v>
      </c>
      <c r="G16" s="5" t="s">
        <v>697</v>
      </c>
      <c r="H16" s="5" t="s">
        <v>628</v>
      </c>
      <c r="I16" s="5" t="s">
        <v>698</v>
      </c>
      <c r="J16" s="4" t="s">
        <v>638</v>
      </c>
      <c r="K16" s="5" t="s">
        <v>661</v>
      </c>
      <c r="L16" s="21" t="s">
        <v>639</v>
      </c>
      <c r="M16" s="19"/>
      <c r="N16" s="19"/>
      <c r="O16" s="19"/>
    </row>
    <row r="17" customFormat="false" ht="25.35" hidden="false" customHeight="false" outlineLevel="0" collapsed="false">
      <c r="A17" s="5" t="s">
        <v>699</v>
      </c>
      <c r="B17" s="4" t="s">
        <v>623</v>
      </c>
      <c r="C17" s="4" t="s">
        <v>700</v>
      </c>
      <c r="D17" s="5" t="s">
        <v>701</v>
      </c>
      <c r="E17" s="5" t="s">
        <v>145</v>
      </c>
      <c r="F17" s="4" t="s">
        <v>702</v>
      </c>
      <c r="G17" s="5" t="s">
        <v>703</v>
      </c>
      <c r="H17" s="5" t="s">
        <v>704</v>
      </c>
      <c r="I17" s="5" t="s">
        <v>705</v>
      </c>
      <c r="J17" s="4" t="s">
        <v>638</v>
      </c>
      <c r="K17" s="4"/>
      <c r="L17" s="21" t="s">
        <v>639</v>
      </c>
      <c r="M17" s="19"/>
      <c r="N17" s="19"/>
      <c r="O17" s="19"/>
    </row>
    <row r="18" customFormat="false" ht="25.35" hidden="false" customHeight="false" outlineLevel="0" collapsed="false">
      <c r="A18" s="5" t="s">
        <v>699</v>
      </c>
      <c r="B18" s="4" t="s">
        <v>623</v>
      </c>
      <c r="C18" s="4" t="s">
        <v>700</v>
      </c>
      <c r="D18" s="5" t="s">
        <v>701</v>
      </c>
      <c r="E18" s="5" t="s">
        <v>191</v>
      </c>
      <c r="F18" s="4" t="s">
        <v>702</v>
      </c>
      <c r="G18" s="5" t="s">
        <v>706</v>
      </c>
      <c r="H18" s="5" t="s">
        <v>707</v>
      </c>
      <c r="I18" s="5" t="s">
        <v>708</v>
      </c>
      <c r="J18" s="4" t="s">
        <v>638</v>
      </c>
      <c r="K18" s="4"/>
      <c r="L18" s="21" t="s">
        <v>639</v>
      </c>
      <c r="M18" s="19"/>
      <c r="N18" s="19"/>
      <c r="O18" s="19"/>
    </row>
    <row r="19" customFormat="false" ht="26.85" hidden="false" customHeight="false" outlineLevel="0" collapsed="false">
      <c r="A19" s="5" t="s">
        <v>709</v>
      </c>
      <c r="B19" s="4" t="s">
        <v>623</v>
      </c>
      <c r="C19" s="4" t="s">
        <v>710</v>
      </c>
      <c r="D19" s="5" t="s">
        <v>534</v>
      </c>
      <c r="E19" s="5" t="s">
        <v>232</v>
      </c>
      <c r="F19" s="4" t="s">
        <v>711</v>
      </c>
      <c r="G19" s="5" t="s">
        <v>712</v>
      </c>
      <c r="H19" s="5" t="s">
        <v>713</v>
      </c>
      <c r="I19" s="5" t="s">
        <v>714</v>
      </c>
      <c r="J19" s="4" t="s">
        <v>638</v>
      </c>
      <c r="K19" s="4"/>
      <c r="L19" s="21" t="s">
        <v>639</v>
      </c>
      <c r="M19" s="19"/>
      <c r="N19" s="19"/>
      <c r="O19" s="19"/>
    </row>
    <row r="20" customFormat="false" ht="15" hidden="false" customHeight="false" outlineLevel="0" collapsed="false">
      <c r="A20" s="5" t="s">
        <v>715</v>
      </c>
      <c r="B20" s="4" t="s">
        <v>281</v>
      </c>
      <c r="C20" s="4" t="s">
        <v>716</v>
      </c>
      <c r="D20" s="5" t="s">
        <v>534</v>
      </c>
      <c r="E20" s="5" t="s">
        <v>232</v>
      </c>
      <c r="F20" s="4" t="s">
        <v>717</v>
      </c>
      <c r="G20" s="5" t="s">
        <v>718</v>
      </c>
      <c r="H20" s="5" t="s">
        <v>628</v>
      </c>
      <c r="I20" s="5" t="s">
        <v>719</v>
      </c>
      <c r="J20" s="4" t="s">
        <v>638</v>
      </c>
      <c r="K20" s="5" t="s">
        <v>646</v>
      </c>
      <c r="L20" s="21" t="s">
        <v>639</v>
      </c>
      <c r="M20" s="19"/>
      <c r="N20" s="19"/>
      <c r="O20" s="19"/>
    </row>
    <row r="21" customFormat="false" ht="26.85" hidden="false" customHeight="false" outlineLevel="0" collapsed="false">
      <c r="A21" s="5" t="s">
        <v>720</v>
      </c>
      <c r="B21" s="4" t="s">
        <v>623</v>
      </c>
      <c r="C21" s="4" t="s">
        <v>721</v>
      </c>
      <c r="D21" s="5" t="s">
        <v>534</v>
      </c>
      <c r="E21" s="5" t="s">
        <v>202</v>
      </c>
      <c r="F21" s="4" t="s">
        <v>722</v>
      </c>
      <c r="G21" s="5" t="s">
        <v>635</v>
      </c>
      <c r="H21" s="5" t="s">
        <v>636</v>
      </c>
      <c r="I21" s="5" t="s">
        <v>637</v>
      </c>
      <c r="J21" s="4" t="s">
        <v>638</v>
      </c>
      <c r="K21" s="4"/>
      <c r="L21" s="21" t="s">
        <v>639</v>
      </c>
      <c r="M21" s="19"/>
      <c r="N21" s="19"/>
      <c r="O21" s="19"/>
    </row>
    <row r="22" customFormat="false" ht="26.85" hidden="false" customHeight="false" outlineLevel="0" collapsed="false">
      <c r="A22" s="5" t="s">
        <v>723</v>
      </c>
      <c r="B22" s="4" t="s">
        <v>623</v>
      </c>
      <c r="C22" s="4" t="s">
        <v>724</v>
      </c>
      <c r="D22" s="4" t="s">
        <v>725</v>
      </c>
      <c r="E22" s="5" t="s">
        <v>726</v>
      </c>
      <c r="F22" s="4" t="s">
        <v>727</v>
      </c>
      <c r="G22" s="5" t="s">
        <v>728</v>
      </c>
      <c r="H22" s="5" t="s">
        <v>729</v>
      </c>
      <c r="I22" s="5" t="s">
        <v>730</v>
      </c>
      <c r="J22" s="4" t="s">
        <v>731</v>
      </c>
      <c r="K22" s="4"/>
      <c r="L22" s="21" t="s">
        <v>631</v>
      </c>
      <c r="M22" s="19"/>
      <c r="N22" s="19"/>
      <c r="O22" s="19"/>
    </row>
    <row r="24" customFormat="false" ht="15" hidden="false" customHeight="false" outlineLevel="0" collapsed="false">
      <c r="A24" s="11" t="s">
        <v>732</v>
      </c>
    </row>
    <row r="25" customFormat="false" ht="15" hidden="false" customHeight="false" outlineLevel="0" collapsed="false">
      <c r="A25" s="22" t="s">
        <v>733</v>
      </c>
    </row>
    <row r="26" customFormat="false" ht="15" hidden="false" customHeight="false" outlineLevel="0" collapsed="false">
      <c r="A26" s="22" t="s">
        <v>734</v>
      </c>
    </row>
    <row r="27" customFormat="false" ht="15" hidden="false" customHeight="false" outlineLevel="0" collapsed="false">
      <c r="A27" s="22" t="s">
        <v>735</v>
      </c>
    </row>
    <row r="28" customFormat="false" ht="15" hidden="false" customHeight="false" outlineLevel="0" collapsed="false">
      <c r="A28" s="22" t="s">
        <v>736</v>
      </c>
    </row>
    <row r="29" customFormat="false" ht="15" hidden="false" customHeight="false" outlineLevel="0" collapsed="false">
      <c r="A29" s="22" t="s">
        <v>737</v>
      </c>
    </row>
    <row r="30" customFormat="false" ht="15" hidden="false" customHeight="false" outlineLevel="0" collapsed="false">
      <c r="A30" s="22" t="s">
        <v>738</v>
      </c>
    </row>
    <row r="32" customFormat="false" ht="15" hidden="false" customHeight="false" outlineLevel="0" collapsed="false">
      <c r="A32" s="11" t="s">
        <v>739</v>
      </c>
    </row>
    <row r="33" customFormat="false" ht="15" hidden="false" customHeight="false" outlineLevel="0" collapsed="false">
      <c r="A33" s="9" t="s">
        <v>639</v>
      </c>
      <c r="B33" s="11" t="n">
        <f aca="false">COUNTIF($L$5:$L$22,A33)</f>
        <v>10</v>
      </c>
    </row>
    <row r="34" customFormat="false" ht="15" hidden="false" customHeight="false" outlineLevel="0" collapsed="false">
      <c r="A34" s="9" t="s">
        <v>631</v>
      </c>
      <c r="B34" s="11" t="n">
        <f aca="false">COUNTIF($L$5:$L$22,A34)</f>
        <v>8</v>
      </c>
    </row>
    <row r="35" customFormat="false" ht="15" hidden="false" customHeight="false" outlineLevel="0" collapsed="false">
      <c r="A35" s="9" t="s">
        <v>740</v>
      </c>
      <c r="B35" s="11" t="n">
        <f aca="false">COUNTIF($L$5:$L$22,A35)</f>
        <v>0</v>
      </c>
    </row>
    <row r="36" customFormat="false" ht="15" hidden="false" customHeight="false" outlineLevel="0" collapsed="false">
      <c r="A36" s="9" t="s">
        <v>741</v>
      </c>
      <c r="B36" s="11" t="n">
        <f aca="false">COUNTIF($L$5:$L$22,A36)</f>
        <v>0</v>
      </c>
    </row>
    <row r="37" customFormat="false" ht="15" hidden="false" customHeight="false" outlineLevel="0" collapsed="false">
      <c r="A37" s="9" t="s">
        <v>742</v>
      </c>
      <c r="B37" s="11" t="n">
        <f aca="false">COUNTIF($L$5:$L$22,A37)</f>
        <v>0</v>
      </c>
    </row>
  </sheetData>
  <dataValidations count="1">
    <dataValidation allowBlank="true" errorStyle="stop" operator="between" showDropDown="false" showErrorMessage="false" showInputMessage="false" sqref="L5:L22" type="list">
      <formula1>"未提供,仮画像を配置,素材受領,差し替え済み,確認済み"</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D1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30"/>
    <col collapsed="false" customWidth="true" hidden="false" outlineLevel="0" max="2" min="2" style="0" width="80"/>
    <col collapsed="false" customWidth="true" hidden="false" outlineLevel="0" max="3" min="3" style="0" width="14"/>
    <col collapsed="false" customWidth="true" hidden="false" outlineLevel="0" max="4" min="4" style="0" width="50"/>
  </cols>
  <sheetData>
    <row r="1" customFormat="false" ht="19.7" hidden="false" customHeight="false" outlineLevel="0" collapsed="false">
      <c r="A1" s="1" t="s">
        <v>743</v>
      </c>
    </row>
    <row r="2" customFormat="false" ht="15" hidden="false" customHeight="false" outlineLevel="0" collapsed="false">
      <c r="A2" s="2" t="s">
        <v>744</v>
      </c>
    </row>
    <row r="4" customFormat="false" ht="15" hidden="false" customHeight="false" outlineLevel="0" collapsed="false">
      <c r="A4" s="3" t="s">
        <v>745</v>
      </c>
      <c r="B4" s="3" t="s">
        <v>746</v>
      </c>
      <c r="C4" s="7" t="s">
        <v>747</v>
      </c>
      <c r="D4" s="3" t="s">
        <v>748</v>
      </c>
    </row>
    <row r="5" customFormat="false" ht="26.85" hidden="false" customHeight="false" outlineLevel="0" collapsed="false">
      <c r="A5" s="5" t="s">
        <v>749</v>
      </c>
      <c r="B5" s="4" t="s">
        <v>750</v>
      </c>
      <c r="C5" s="23" t="s">
        <v>751</v>
      </c>
      <c r="D5" s="4" t="s">
        <v>752</v>
      </c>
    </row>
    <row r="6" customFormat="false" ht="26.85" hidden="false" customHeight="false" outlineLevel="0" collapsed="false">
      <c r="A6" s="4" t="s">
        <v>753</v>
      </c>
      <c r="B6" s="5" t="s">
        <v>754</v>
      </c>
      <c r="C6" s="24" t="s">
        <v>755</v>
      </c>
      <c r="D6" s="4" t="s">
        <v>756</v>
      </c>
    </row>
    <row r="7" customFormat="false" ht="15" hidden="false" customHeight="false" outlineLevel="0" collapsed="false">
      <c r="A7" s="4" t="s">
        <v>757</v>
      </c>
      <c r="B7" s="5" t="s">
        <v>758</v>
      </c>
      <c r="C7" s="24" t="s">
        <v>755</v>
      </c>
      <c r="D7" s="4" t="s">
        <v>759</v>
      </c>
    </row>
    <row r="8" customFormat="false" ht="26.85" hidden="false" customHeight="false" outlineLevel="0" collapsed="false">
      <c r="A8" s="4" t="s">
        <v>760</v>
      </c>
      <c r="B8" s="4" t="s">
        <v>761</v>
      </c>
      <c r="C8" s="23" t="s">
        <v>762</v>
      </c>
      <c r="D8" s="4" t="s">
        <v>763</v>
      </c>
    </row>
    <row r="9" customFormat="false" ht="26.85" hidden="false" customHeight="false" outlineLevel="0" collapsed="false">
      <c r="A9" s="4" t="s">
        <v>764</v>
      </c>
      <c r="B9" s="4" t="s">
        <v>765</v>
      </c>
      <c r="C9" s="24" t="s">
        <v>755</v>
      </c>
      <c r="D9" s="4"/>
    </row>
    <row r="10" customFormat="false" ht="15" hidden="false" customHeight="false" outlineLevel="0" collapsed="false">
      <c r="A10" s="4" t="s">
        <v>766</v>
      </c>
      <c r="B10" s="4" t="s">
        <v>767</v>
      </c>
      <c r="C10" s="24" t="s">
        <v>755</v>
      </c>
      <c r="D10" s="4" t="s">
        <v>768</v>
      </c>
    </row>
    <row r="11" customFormat="false" ht="15" hidden="false" customHeight="false" outlineLevel="0" collapsed="false">
      <c r="A11" s="4" t="s">
        <v>769</v>
      </c>
      <c r="B11" s="4" t="s">
        <v>770</v>
      </c>
      <c r="C11" s="23" t="s">
        <v>771</v>
      </c>
      <c r="D11" s="4" t="s">
        <v>772</v>
      </c>
    </row>
    <row r="12" customFormat="false" ht="26.85" hidden="false" customHeight="false" outlineLevel="0" collapsed="false">
      <c r="A12" s="4" t="s">
        <v>773</v>
      </c>
      <c r="B12" s="4" t="s">
        <v>774</v>
      </c>
      <c r="C12" s="24" t="s">
        <v>755</v>
      </c>
      <c r="D12" s="4" t="s">
        <v>775</v>
      </c>
    </row>
    <row r="14" customFormat="false" ht="15" hidden="false" customHeight="false" outlineLevel="0" collapsed="false">
      <c r="A14" s="11" t="s">
        <v>776</v>
      </c>
    </row>
    <row r="15" customFormat="false" ht="15" hidden="false" customHeight="false" outlineLevel="0" collapsed="false">
      <c r="A15" s="9" t="s">
        <v>777</v>
      </c>
    </row>
    <row r="16" customFormat="false" ht="15" hidden="false" customHeight="false" outlineLevel="0" collapsed="false">
      <c r="A16" s="9" t="s">
        <v>778</v>
      </c>
    </row>
    <row r="17" customFormat="false" ht="15" hidden="false" customHeight="false" outlineLevel="0" collapsed="false">
      <c r="A17" s="9" t="s">
        <v>779</v>
      </c>
    </row>
    <row r="18" customFormat="false" ht="15" hidden="false" customHeight="false" outlineLevel="0" collapsed="false">
      <c r="A18" s="9" t="s">
        <v>780</v>
      </c>
    </row>
    <row r="19" customFormat="false" ht="15" hidden="false" customHeight="false" outlineLevel="0" collapsed="false">
      <c r="A19" s="9" t="s">
        <v>781</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C2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10"/>
    <col collapsed="false" customWidth="true" hidden="false" outlineLevel="0" max="2" min="2" style="0" width="60"/>
    <col collapsed="false" customWidth="true" hidden="false" outlineLevel="0" max="3" min="3" style="0" width="50"/>
  </cols>
  <sheetData>
    <row r="1" customFormat="false" ht="19.7" hidden="false" customHeight="false" outlineLevel="0" collapsed="false">
      <c r="A1" s="1" t="s">
        <v>782</v>
      </c>
    </row>
    <row r="2" customFormat="false" ht="15" hidden="false" customHeight="false" outlineLevel="0" collapsed="false">
      <c r="A2" s="2" t="s">
        <v>783</v>
      </c>
    </row>
    <row r="4" customFormat="false" ht="15" hidden="false" customHeight="false" outlineLevel="0" collapsed="false">
      <c r="A4" s="3" t="s">
        <v>784</v>
      </c>
      <c r="B4" s="3" t="s">
        <v>785</v>
      </c>
      <c r="C4" s="3" t="s">
        <v>786</v>
      </c>
    </row>
    <row r="5" customFormat="false" ht="15" hidden="false" customHeight="false" outlineLevel="0" collapsed="false">
      <c r="A5" s="5" t="s">
        <v>787</v>
      </c>
      <c r="B5" s="4" t="s">
        <v>788</v>
      </c>
      <c r="C5" s="5" t="s">
        <v>789</v>
      </c>
    </row>
    <row r="6" customFormat="false" ht="15" hidden="false" customHeight="false" outlineLevel="0" collapsed="false">
      <c r="A6" s="5" t="s">
        <v>790</v>
      </c>
      <c r="B6" s="4" t="s">
        <v>791</v>
      </c>
      <c r="C6" s="4" t="s">
        <v>792</v>
      </c>
    </row>
    <row r="8" customFormat="false" ht="15" hidden="false" customHeight="false" outlineLevel="0" collapsed="false">
      <c r="A8" s="3" t="s">
        <v>784</v>
      </c>
      <c r="B8" s="3" t="s">
        <v>793</v>
      </c>
      <c r="C8" s="3" t="s">
        <v>786</v>
      </c>
    </row>
    <row r="9" customFormat="false" ht="15" hidden="false" customHeight="false" outlineLevel="0" collapsed="false">
      <c r="A9" s="5" t="s">
        <v>794</v>
      </c>
      <c r="B9" s="4" t="s">
        <v>795</v>
      </c>
      <c r="C9" s="5" t="s">
        <v>796</v>
      </c>
    </row>
    <row r="10" customFormat="false" ht="15" hidden="false" customHeight="false" outlineLevel="0" collapsed="false">
      <c r="A10" s="5" t="s">
        <v>797</v>
      </c>
      <c r="B10" s="4" t="s">
        <v>798</v>
      </c>
      <c r="C10" s="5" t="s">
        <v>796</v>
      </c>
    </row>
    <row r="11" customFormat="false" ht="15" hidden="false" customHeight="false" outlineLevel="0" collapsed="false">
      <c r="A11" s="5" t="s">
        <v>799</v>
      </c>
      <c r="B11" s="4" t="s">
        <v>800</v>
      </c>
      <c r="C11" s="5" t="s">
        <v>796</v>
      </c>
    </row>
    <row r="12" customFormat="false" ht="15" hidden="false" customHeight="false" outlineLevel="0" collapsed="false">
      <c r="A12" s="5" t="s">
        <v>801</v>
      </c>
      <c r="B12" s="4" t="s">
        <v>802</v>
      </c>
      <c r="C12" s="5" t="s">
        <v>803</v>
      </c>
    </row>
    <row r="13" customFormat="false" ht="15" hidden="false" customHeight="false" outlineLevel="0" collapsed="false">
      <c r="A13" s="5" t="s">
        <v>804</v>
      </c>
      <c r="B13" s="4" t="s">
        <v>805</v>
      </c>
      <c r="C13" s="4" t="s">
        <v>806</v>
      </c>
    </row>
    <row r="14" customFormat="false" ht="15" hidden="false" customHeight="false" outlineLevel="0" collapsed="false">
      <c r="A14" s="5" t="s">
        <v>807</v>
      </c>
      <c r="B14" s="4" t="s">
        <v>808</v>
      </c>
      <c r="C14" s="4" t="s">
        <v>809</v>
      </c>
    </row>
    <row r="15" customFormat="false" ht="15" hidden="false" customHeight="false" outlineLevel="0" collapsed="false">
      <c r="A15" s="5" t="s">
        <v>810</v>
      </c>
      <c r="B15" s="4" t="s">
        <v>811</v>
      </c>
      <c r="C15" s="5" t="s">
        <v>812</v>
      </c>
    </row>
    <row r="16" customFormat="false" ht="15" hidden="false" customHeight="false" outlineLevel="0" collapsed="false">
      <c r="A16" s="5" t="s">
        <v>813</v>
      </c>
      <c r="B16" s="4" t="s">
        <v>814</v>
      </c>
      <c r="C16" s="4" t="s">
        <v>815</v>
      </c>
    </row>
    <row r="18" customFormat="false" ht="15" hidden="false" customHeight="false" outlineLevel="0" collapsed="false">
      <c r="A18" s="3" t="s">
        <v>816</v>
      </c>
      <c r="B18" s="3" t="s">
        <v>817</v>
      </c>
      <c r="C18" s="3" t="s">
        <v>818</v>
      </c>
    </row>
    <row r="19" customFormat="false" ht="26.85" hidden="false" customHeight="false" outlineLevel="0" collapsed="false">
      <c r="A19" s="4" t="s">
        <v>819</v>
      </c>
      <c r="B19" s="4" t="s">
        <v>820</v>
      </c>
      <c r="C19" s="4" t="s">
        <v>821</v>
      </c>
    </row>
    <row r="20" customFormat="false" ht="26.85" hidden="false" customHeight="false" outlineLevel="0" collapsed="false">
      <c r="A20" s="4" t="s">
        <v>822</v>
      </c>
      <c r="B20" s="5" t="s">
        <v>823</v>
      </c>
      <c r="C20" s="4" t="s">
        <v>824</v>
      </c>
    </row>
    <row r="21" customFormat="false" ht="26.85" hidden="false" customHeight="false" outlineLevel="0" collapsed="false">
      <c r="A21" s="4" t="s">
        <v>825</v>
      </c>
      <c r="B21" s="5" t="s">
        <v>826</v>
      </c>
      <c r="C21" s="4" t="s">
        <v>824</v>
      </c>
    </row>
    <row r="22" customFormat="false" ht="39.55" hidden="false" customHeight="false" outlineLevel="0" collapsed="false">
      <c r="A22" s="4" t="s">
        <v>827</v>
      </c>
      <c r="B22" s="4" t="s">
        <v>828</v>
      </c>
      <c r="C22" s="4" t="s">
        <v>829</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G1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5"/>
    <col collapsed="false" customWidth="true" hidden="false" outlineLevel="0" max="2" min="2" style="0" width="10"/>
    <col collapsed="false" customWidth="true" hidden="false" outlineLevel="0" max="3" min="3" style="0" width="80"/>
    <col collapsed="false" customWidth="true" hidden="false" outlineLevel="0" max="4" min="4" style="0" width="24"/>
    <col collapsed="false" customWidth="true" hidden="false" outlineLevel="0" max="5" min="5" style="0" width="16"/>
    <col collapsed="false" customWidth="true" hidden="false" outlineLevel="0" max="6" min="6" style="0" width="36"/>
    <col collapsed="false" customWidth="true" hidden="false" outlineLevel="0" max="7" min="7" style="0" width="10"/>
  </cols>
  <sheetData>
    <row r="1" customFormat="false" ht="19.7" hidden="false" customHeight="false" outlineLevel="0" collapsed="false">
      <c r="A1" s="1" t="s">
        <v>830</v>
      </c>
    </row>
    <row r="2" customFormat="false" ht="15" hidden="false" customHeight="false" outlineLevel="0" collapsed="false">
      <c r="A2" s="2" t="s">
        <v>831</v>
      </c>
    </row>
    <row r="4" customFormat="false" ht="15" hidden="false" customHeight="false" outlineLevel="0" collapsed="false">
      <c r="A4" s="16" t="s">
        <v>240</v>
      </c>
      <c r="B4" s="3" t="s">
        <v>832</v>
      </c>
      <c r="C4" s="3" t="s">
        <v>3</v>
      </c>
      <c r="D4" s="3" t="s">
        <v>833</v>
      </c>
      <c r="E4" s="3" t="s">
        <v>834</v>
      </c>
      <c r="F4" s="3" t="s">
        <v>835</v>
      </c>
      <c r="G4" s="3" t="s">
        <v>618</v>
      </c>
    </row>
    <row r="5" customFormat="false" ht="15" hidden="false" customHeight="false" outlineLevel="0" collapsed="false">
      <c r="A5" s="4" t="n">
        <v>1</v>
      </c>
      <c r="B5" s="4" t="s">
        <v>836</v>
      </c>
      <c r="C5" s="5" t="s">
        <v>837</v>
      </c>
      <c r="D5" s="5" t="s">
        <v>838</v>
      </c>
      <c r="E5" s="4" t="s">
        <v>839</v>
      </c>
      <c r="F5" s="19"/>
      <c r="G5" s="21" t="s">
        <v>840</v>
      </c>
    </row>
    <row r="6" customFormat="false" ht="15" hidden="false" customHeight="false" outlineLevel="0" collapsed="false">
      <c r="A6" s="4" t="n">
        <v>2</v>
      </c>
      <c r="B6" s="4" t="s">
        <v>836</v>
      </c>
      <c r="C6" s="5" t="s">
        <v>841</v>
      </c>
      <c r="D6" s="5" t="s">
        <v>842</v>
      </c>
      <c r="E6" s="4" t="s">
        <v>843</v>
      </c>
      <c r="F6" s="19"/>
      <c r="G6" s="21" t="s">
        <v>840</v>
      </c>
    </row>
    <row r="7" customFormat="false" ht="15" hidden="false" customHeight="false" outlineLevel="0" collapsed="false">
      <c r="A7" s="4" t="n">
        <v>3</v>
      </c>
      <c r="B7" s="4" t="s">
        <v>836</v>
      </c>
      <c r="C7" s="4" t="s">
        <v>844</v>
      </c>
      <c r="D7" s="5" t="s">
        <v>150</v>
      </c>
      <c r="E7" s="4" t="s">
        <v>845</v>
      </c>
      <c r="F7" s="19"/>
      <c r="G7" s="21" t="s">
        <v>840</v>
      </c>
    </row>
    <row r="8" customFormat="false" ht="15" hidden="false" customHeight="false" outlineLevel="0" collapsed="false">
      <c r="A8" s="4" t="n">
        <v>4</v>
      </c>
      <c r="B8" s="4" t="s">
        <v>623</v>
      </c>
      <c r="C8" s="4" t="s">
        <v>846</v>
      </c>
      <c r="D8" s="5" t="s">
        <v>674</v>
      </c>
      <c r="E8" s="4" t="s">
        <v>847</v>
      </c>
      <c r="F8" s="19"/>
      <c r="G8" s="21" t="s">
        <v>840</v>
      </c>
    </row>
    <row r="9" customFormat="false" ht="15" hidden="false" customHeight="false" outlineLevel="0" collapsed="false">
      <c r="A9" s="4" t="n">
        <v>5</v>
      </c>
      <c r="B9" s="4" t="s">
        <v>848</v>
      </c>
      <c r="C9" s="5" t="s">
        <v>849</v>
      </c>
      <c r="D9" s="5" t="s">
        <v>229</v>
      </c>
      <c r="E9" s="4" t="s">
        <v>850</v>
      </c>
      <c r="F9" s="19"/>
      <c r="G9" s="21" t="s">
        <v>840</v>
      </c>
    </row>
    <row r="10" customFormat="false" ht="15" hidden="false" customHeight="false" outlineLevel="0" collapsed="false">
      <c r="A10" s="4" t="n">
        <v>6</v>
      </c>
      <c r="B10" s="4" t="s">
        <v>848</v>
      </c>
      <c r="C10" s="4" t="s">
        <v>851</v>
      </c>
      <c r="D10" s="5" t="s">
        <v>232</v>
      </c>
      <c r="E10" s="4" t="s">
        <v>850</v>
      </c>
      <c r="F10" s="19"/>
      <c r="G10" s="21" t="s">
        <v>840</v>
      </c>
    </row>
    <row r="11" customFormat="false" ht="15" hidden="false" customHeight="false" outlineLevel="0" collapsed="false">
      <c r="A11" s="4" t="n">
        <v>7</v>
      </c>
      <c r="B11" s="4" t="s">
        <v>848</v>
      </c>
      <c r="C11" s="4" t="s">
        <v>852</v>
      </c>
      <c r="D11" s="5" t="s">
        <v>853</v>
      </c>
      <c r="E11" s="4" t="s">
        <v>850</v>
      </c>
      <c r="F11" s="19"/>
      <c r="G11" s="21" t="s">
        <v>840</v>
      </c>
    </row>
    <row r="12" customFormat="false" ht="15" hidden="false" customHeight="false" outlineLevel="0" collapsed="false">
      <c r="A12" s="4" t="n">
        <v>8</v>
      </c>
      <c r="B12" s="4" t="s">
        <v>854</v>
      </c>
      <c r="C12" s="4" t="s">
        <v>855</v>
      </c>
      <c r="D12" s="5" t="s">
        <v>508</v>
      </c>
      <c r="E12" s="4" t="s">
        <v>856</v>
      </c>
      <c r="F12" s="19"/>
      <c r="G12" s="21" t="s">
        <v>840</v>
      </c>
    </row>
    <row r="13" customFormat="false" ht="15" hidden="false" customHeight="false" outlineLevel="0" collapsed="false">
      <c r="A13" s="4" t="n">
        <v>9</v>
      </c>
      <c r="B13" s="4" t="s">
        <v>854</v>
      </c>
      <c r="C13" s="4" t="s">
        <v>857</v>
      </c>
      <c r="D13" s="5" t="s">
        <v>508</v>
      </c>
      <c r="E13" s="4" t="s">
        <v>850</v>
      </c>
      <c r="F13" s="19"/>
      <c r="G13" s="21" t="s">
        <v>840</v>
      </c>
    </row>
    <row r="14" customFormat="false" ht="15" hidden="false" customHeight="false" outlineLevel="0" collapsed="false">
      <c r="A14" s="4" t="n">
        <v>10</v>
      </c>
      <c r="B14" s="4" t="s">
        <v>854</v>
      </c>
      <c r="C14" s="5" t="s">
        <v>858</v>
      </c>
      <c r="D14" s="5" t="s">
        <v>859</v>
      </c>
      <c r="E14" s="4" t="s">
        <v>856</v>
      </c>
      <c r="F14" s="19"/>
      <c r="G14" s="21" t="s">
        <v>840</v>
      </c>
    </row>
    <row r="15" customFormat="false" ht="26.85" hidden="false" customHeight="false" outlineLevel="0" collapsed="false">
      <c r="A15" s="4" t="n">
        <v>11</v>
      </c>
      <c r="B15" s="4" t="s">
        <v>860</v>
      </c>
      <c r="C15" s="4" t="s">
        <v>861</v>
      </c>
      <c r="D15" s="5" t="s">
        <v>640</v>
      </c>
      <c r="E15" s="4" t="s">
        <v>862</v>
      </c>
      <c r="F15" s="19"/>
      <c r="G15" s="21" t="s">
        <v>840</v>
      </c>
    </row>
    <row r="16" customFormat="false" ht="15" hidden="false" customHeight="false" outlineLevel="0" collapsed="false">
      <c r="A16" s="4" t="n">
        <v>12</v>
      </c>
      <c r="B16" s="4" t="s">
        <v>860</v>
      </c>
      <c r="C16" s="4" t="s">
        <v>863</v>
      </c>
      <c r="D16" s="5" t="s">
        <v>694</v>
      </c>
      <c r="E16" s="4" t="s">
        <v>862</v>
      </c>
      <c r="F16" s="19"/>
      <c r="G16" s="21" t="s">
        <v>840</v>
      </c>
    </row>
    <row r="17" customFormat="false" ht="15" hidden="false" customHeight="false" outlineLevel="0" collapsed="false">
      <c r="A17" s="4" t="n">
        <v>13</v>
      </c>
      <c r="B17" s="4" t="s">
        <v>860</v>
      </c>
      <c r="C17" s="4" t="s">
        <v>864</v>
      </c>
      <c r="D17" s="5" t="s">
        <v>723</v>
      </c>
      <c r="E17" s="4" t="s">
        <v>862</v>
      </c>
      <c r="F17" s="19"/>
      <c r="G17" s="21" t="s">
        <v>840</v>
      </c>
    </row>
    <row r="18" customFormat="false" ht="39.55" hidden="false" customHeight="false" outlineLevel="0" collapsed="false">
      <c r="A18" s="4" t="n">
        <v>14</v>
      </c>
      <c r="B18" s="4" t="s">
        <v>865</v>
      </c>
      <c r="C18" s="5" t="s">
        <v>866</v>
      </c>
      <c r="D18" s="5" t="s">
        <v>867</v>
      </c>
      <c r="E18" s="4" t="s">
        <v>868</v>
      </c>
      <c r="F18" s="19"/>
      <c r="G18" s="21" t="s">
        <v>840</v>
      </c>
    </row>
  </sheetData>
  <dataValidations count="1">
    <dataValidation allowBlank="true" errorStyle="stop" operator="between" showDropDown="false" showErrorMessage="false" showInputMessage="false" sqref="G5:G18" type="list">
      <formula1>"未確認,確認中,解決"</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2026-10-15T03:31:05Z</dcterms:created>
  <dc:creator>openpyxl</dc:creator>
  <dc:description/>
  <dc:language>en-US</dc:language>
  <cp:lastModifiedBy/>
  <dcterms:modified xsi:type="dcterms:W3CDTF">2026-10-15T03:31:05Z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